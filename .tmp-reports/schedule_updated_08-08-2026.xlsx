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ies - Engineering" sheetId="1" r:id="rId4"/>
    <sheet state="visible" name="Activities - Procurement" sheetId="2" r:id="rId5"/>
    <sheet state="visible" name="Activities - Construction" sheetId="3" r:id="rId6"/>
    <sheet state="visible" name="Activities - Commissioning" sheetId="4" r:id="rId7"/>
    <sheet state="visible" name="Schedule Intelligence" sheetId="5" r:id="rId8"/>
    <sheet state="visible" name="Cost Intelligence" sheetId="6" r:id="rId9"/>
    <sheet state="visible" name="Productivity Intelligence" sheetId="7" r:id="rId10"/>
  </sheets>
  <definedNames>
    <definedName hidden="1" localSheetId="0" name="_xlnm._FilterDatabase">'Activities - Engineering'!$A$1:$Y$9</definedName>
    <definedName hidden="1" localSheetId="1" name="_xlnm._FilterDatabase">'Activities - Procurement'!$A$1:$Y$9</definedName>
    <definedName hidden="1" localSheetId="2" name="_xlnm._FilterDatabase">'Activities - Construction'!$A$1:$Y$14</definedName>
    <definedName hidden="1" localSheetId="3" name="_xlnm._FilterDatabase">'Activities - Commissioning'!$A$1:$Y$6</definedName>
  </definedNames>
  <calcPr/>
  <extLst>
    <ext uri="GoogleSheetsCustomDataVersion2">
      <go:sheetsCustomData xmlns:go="http://customooxmlschemas.google.com/" r:id="rId11" roundtripDataChecksum="vUS7tXkdUIqNoaEyat9y23wwD3MhceX10uRGsDiPxfA="/>
    </ext>
  </extLst>
</workbook>
</file>

<file path=xl/sharedStrings.xml><?xml version="1.0" encoding="utf-8"?>
<sst xmlns="http://schemas.openxmlformats.org/spreadsheetml/2006/main" count="387" uniqueCount="158">
  <si>
    <t>Activity ID</t>
  </si>
  <si>
    <t>Activity Name</t>
  </si>
  <si>
    <t>Phase</t>
  </si>
  <si>
    <t>Cost Category</t>
  </si>
  <si>
    <t>Period</t>
  </si>
  <si>
    <t>Baseline Start</t>
  </si>
  <si>
    <t>Baseline Finish</t>
  </si>
  <si>
    <t>Forecast Start</t>
  </si>
  <si>
    <t>Forecast Finish</t>
  </si>
  <si>
    <t>Actual Start</t>
  </si>
  <si>
    <t>Actual Finish</t>
  </si>
  <si>
    <t>% Complete</t>
  </si>
  <si>
    <t>Status</t>
  </si>
  <si>
    <t>Variance (Days)</t>
  </si>
  <si>
    <t>Root Cause</t>
  </si>
  <si>
    <t>Impact</t>
  </si>
  <si>
    <t>Budget Cost (AED)</t>
  </si>
  <si>
    <t>Actual Cost (AED)</t>
  </si>
  <si>
    <t>Forecast Cost (AED)</t>
  </si>
  <si>
    <t>Planned Hours</t>
  </si>
  <si>
    <t>Actual Hours</t>
  </si>
  <si>
    <t>Planned Output</t>
  </si>
  <si>
    <t>Actual Output</t>
  </si>
  <si>
    <t>Output Unit</t>
  </si>
  <si>
    <t>Productivity Index</t>
  </si>
  <si>
    <t>ENG-01</t>
  </si>
  <si>
    <t>Site Survey &amp; Soil Investigation</t>
  </si>
  <si>
    <t>Engineering</t>
  </si>
  <si>
    <t>Engineering &amp; Design Fees</t>
  </si>
  <si>
    <t>PRC-01</t>
  </si>
  <si>
    <t>CON-01</t>
  </si>
  <si>
    <t>P1</t>
  </si>
  <si>
    <t>Rebar Procurement</t>
  </si>
  <si>
    <t>Excavation &amp; Shoring</t>
  </si>
  <si>
    <t>Construction</t>
  </si>
  <si>
    <t>Procurement</t>
  </si>
  <si>
    <t>Civil Works</t>
  </si>
  <si>
    <t>Material Procurement</t>
  </si>
  <si>
    <t>P2</t>
  </si>
  <si>
    <t>COM-01</t>
  </si>
  <si>
    <t>MEP Systems Testing &amp; Balancing</t>
  </si>
  <si>
    <t>Commissioning</t>
  </si>
  <si>
    <t>Testing &amp; Commissioning</t>
  </si>
  <si>
    <t>P4</t>
  </si>
  <si>
    <t>-</t>
  </si>
  <si>
    <t>None</t>
  </si>
  <si>
    <t>Groundwater management</t>
  </si>
  <si>
    <t>Medium</t>
  </si>
  <si>
    <t>Sequenced after MEP first fix completion</t>
  </si>
  <si>
    <t>m3 poured</t>
  </si>
  <si>
    <t>ENG-02</t>
  </si>
  <si>
    <t>Architectural Drawings - IFC</t>
  </si>
  <si>
    <t>CON-02</t>
  </si>
  <si>
    <t>systems tested</t>
  </si>
  <si>
    <t>Foundation &amp; Raft Slab Pour</t>
  </si>
  <si>
    <t>Client review delays</t>
  </si>
  <si>
    <t>Low</t>
  </si>
  <si>
    <t>COM-02</t>
  </si>
  <si>
    <t>Fire Alarm &amp; Life Safety Commissioning</t>
  </si>
  <si>
    <t>PRC-02</t>
  </si>
  <si>
    <t>Ready-Mix Concrete Supplier Contract</t>
  </si>
  <si>
    <t>Rebar procurement delay upstream</t>
  </si>
  <si>
    <t>High</t>
  </si>
  <si>
    <t>ENG-03</t>
  </si>
  <si>
    <t>Structural Design &amp; Calculations</t>
  </si>
  <si>
    <t>tons fixed</t>
  </si>
  <si>
    <t>CON-03</t>
  </si>
  <si>
    <t>Substructure Waterproofing</t>
  </si>
  <si>
    <t>P3</t>
  </si>
  <si>
    <t>Supplier price renegotiation</t>
  </si>
  <si>
    <t>Late input from geotech report</t>
  </si>
  <si>
    <t>COM-03</t>
  </si>
  <si>
    <t>Snagging &amp; Defects Rectification</t>
  </si>
  <si>
    <t>Follows foundation pour completion</t>
  </si>
  <si>
    <t>Snagging &amp; Handover</t>
  </si>
  <si>
    <t>ENG-04</t>
  </si>
  <si>
    <t>MEP Coordination Drawings</t>
  </si>
  <si>
    <t>MEP Works</t>
  </si>
  <si>
    <t>tons erected</t>
  </si>
  <si>
    <t>PRC-03</t>
  </si>
  <si>
    <t>CON-04</t>
  </si>
  <si>
    <t>Structural Steel Procurement</t>
  </si>
  <si>
    <t>Follows facade and fit-out completion</t>
  </si>
  <si>
    <t>Superstructure - Ground to L3 Columns</t>
  </si>
  <si>
    <t>Design clashes requiring rework</t>
  </si>
  <si>
    <t>COM-04</t>
  </si>
  <si>
    <t>As-Built Documentation &amp; O&amp;M Manuals</t>
  </si>
  <si>
    <t>Concrete supplier renegotiation impact</t>
  </si>
  <si>
    <t>Mill lead-time longer than quoted</t>
  </si>
  <si>
    <t>linear meters</t>
  </si>
  <si>
    <t>ENG-05</t>
  </si>
  <si>
    <t>Landscape &amp; Civil Design</t>
  </si>
  <si>
    <t>CON-05</t>
  </si>
  <si>
    <t>Superstructure - Slab L1</t>
  </si>
  <si>
    <t>PRC-04</t>
  </si>
  <si>
    <t>COM-05</t>
  </si>
  <si>
    <t>MEP Equipment Long-Lead Items</t>
  </si>
  <si>
    <t>Client Handover &amp; Training</t>
  </si>
  <si>
    <t>Sequenced after column pours</t>
  </si>
  <si>
    <t>m2 completed</t>
  </si>
  <si>
    <t>ENG-06</t>
  </si>
  <si>
    <t>Fire &amp; Life Safety Design</t>
  </si>
  <si>
    <t>CON-06</t>
  </si>
  <si>
    <t>Site Mobilization &amp; Hoarding</t>
  </si>
  <si>
    <t>Equipment Idle Time</t>
  </si>
  <si>
    <t>Chiller delivery delayed by manufacturer</t>
  </si>
  <si>
    <t>Code compliance revisions</t>
  </si>
  <si>
    <t>PRC-05</t>
  </si>
  <si>
    <t>lump sum</t>
  </si>
  <si>
    <t>Elevator &amp; Lift Package</t>
  </si>
  <si>
    <t>ENG-07</t>
  </si>
  <si>
    <t>CON-07</t>
  </si>
  <si>
    <t>Vertical Transportation</t>
  </si>
  <si>
    <t>Geotechnical Peer Review</t>
  </si>
  <si>
    <t>MEP First Fix - L1-L3</t>
  </si>
  <si>
    <t>Sequenced after superstructure</t>
  </si>
  <si>
    <t>OEM factory backlog</t>
  </si>
  <si>
    <t>risers installed</t>
  </si>
  <si>
    <t>ENG-08</t>
  </si>
  <si>
    <t>CON-08</t>
  </si>
  <si>
    <t>BIM Coordination Model - Final</t>
  </si>
  <si>
    <t>External Facade Installation - Phase 1</t>
  </si>
  <si>
    <t>Facade &amp; Glazing</t>
  </si>
  <si>
    <t>PRC-06</t>
  </si>
  <si>
    <t>Facade &amp; Glazing Package</t>
  </si>
  <si>
    <t>Awaiting glazing package delivery</t>
  </si>
  <si>
    <t>Additional clash detection rounds</t>
  </si>
  <si>
    <t>panels installed</t>
  </si>
  <si>
    <t>CON-09</t>
  </si>
  <si>
    <t>Internal Partitions - L1</t>
  </si>
  <si>
    <t>Fit-Out &amp; Finishes</t>
  </si>
  <si>
    <t>Custom glass unit lead time</t>
  </si>
  <si>
    <t>m2 partitions</t>
  </si>
  <si>
    <t>PRC-07</t>
  </si>
  <si>
    <t>Interior Finishes Materials Package</t>
  </si>
  <si>
    <t>OVH-01</t>
  </si>
  <si>
    <t>Site Overheads &amp; Indirect Labor</t>
  </si>
  <si>
    <t>Labor &amp; Site Overheads</t>
  </si>
  <si>
    <t>Tile supplier backorder</t>
  </si>
  <si>
    <t>CNT-01</t>
  </si>
  <si>
    <t>Contingency Reserve</t>
  </si>
  <si>
    <t>PRC-08</t>
  </si>
  <si>
    <t>Landscaping Materials &amp; Plants</t>
  </si>
  <si>
    <t>Landscaping &amp; External Works</t>
  </si>
  <si>
    <t>CON-10</t>
  </si>
  <si>
    <t>Roofing &amp; Waterproofing - Roof Level</t>
  </si>
  <si>
    <t>Sequenced after superstructure topping out</t>
  </si>
  <si>
    <t>CON-11</t>
  </si>
  <si>
    <t>External Hardscape &amp; Paving</t>
  </si>
  <si>
    <t>P1 (AED)</t>
  </si>
  <si>
    <t>P2 (AED)</t>
  </si>
  <si>
    <t>P3 (AED)</t>
  </si>
  <si>
    <t>P4 (AED)</t>
  </si>
  <si>
    <t>Fcst (AED)</t>
  </si>
  <si>
    <t>Variance vs Budget</t>
  </si>
  <si>
    <t>% of Budget</t>
  </si>
  <si>
    <t>Hours Variance</t>
  </si>
  <si>
    <t>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</si>
</sst>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-mmm\-yy"/>
    <numFmt numFmtId="165" formatCode="#,##0&quot; AED&quot;"/>
    <numFmt numFmtId="166" formatCode="0.0%"/>
    <numFmt numFmtId="167" formatCode="\+#,##0;\-#,##0;0"/>
    <numFmt numFmtId="168" formatCode="\+#,##0.0,,&quot;M AED&quot;;\-#,##0.0,,&quot;M AED&quot;;&quot;+0.0M AED&quot;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9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0" fontId="2" numFmtId="166" xfId="0" applyAlignment="1" applyBorder="1" applyFont="1" applyNumberFormat="1">
      <alignment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1" fillId="0" fontId="2" numFmtId="167" xfId="0" applyAlignment="1" applyBorder="1" applyFont="1" applyNumberFormat="1">
      <alignment shrinkToFit="0" vertical="bottom" wrapText="0"/>
    </xf>
    <xf borderId="1" fillId="0" fontId="2" numFmtId="168" xfId="0" applyAlignment="1" applyBorder="1" applyFont="1" applyNumberFormat="1">
      <alignment shrinkToFit="0" vertical="bottom" wrapText="0"/>
    </xf>
    <xf borderId="1" fillId="0" fontId="2" numFmtId="2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6">
    <dxf>
      <font>
        <b/>
        <color rgb="FFC0392B"/>
        <name val="Arial"/>
      </font>
      <fill>
        <patternFill patternType="solid">
          <fgColor rgb="FFFBEAEA"/>
          <bgColor rgb="FFFBEAEA"/>
        </patternFill>
      </fill>
      <border/>
    </dxf>
    <dxf>
      <font>
        <b/>
        <color rgb="FFB7791F"/>
        <name val="Arial"/>
      </font>
      <fill>
        <patternFill patternType="solid">
          <fgColor rgb="FFFEF3E2"/>
          <bgColor rgb="FFFEF3E2"/>
        </patternFill>
      </fill>
      <border/>
    </dxf>
    <dxf>
      <font>
        <b/>
        <color rgb="FF1E8E5A"/>
        <name val="Arial"/>
      </font>
      <fill>
        <patternFill patternType="solid">
          <fgColor rgb="FFE6F4EA"/>
          <bgColor rgb="FFE6F4EA"/>
        </patternFill>
      </fill>
      <border/>
    </dxf>
    <dxf>
      <font>
        <b/>
        <color rgb="FF6B7280"/>
        <name val="Arial"/>
      </font>
      <fill>
        <patternFill patternType="solid">
          <fgColor rgb="FFF3F4F6"/>
          <bgColor rgb="FFF3F4F6"/>
        </patternFill>
      </fill>
      <border/>
    </dxf>
    <dxf>
      <font>
        <b/>
        <color rgb="FFC0392B"/>
        <name val="Arial"/>
      </font>
      <fill>
        <patternFill patternType="none"/>
      </fill>
      <border/>
    </dxf>
    <dxf>
      <font>
        <b/>
        <color rgb="FF1E8E5A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8.43"/>
    <col customWidth="1" min="3" max="3" width="11.29"/>
    <col customWidth="1" min="4" max="4" width="24.29"/>
    <col customWidth="1" min="5" max="5" width="7.0"/>
    <col customWidth="1" min="6" max="7" width="10.71"/>
    <col customWidth="1" min="8" max="8" width="10.57"/>
    <col customWidth="1" min="9" max="9" width="10.29"/>
    <col customWidth="1" min="10" max="11" width="10.0"/>
    <col customWidth="1" min="12" max="12" width="9.86"/>
    <col customWidth="1" min="13" max="13" width="12.0"/>
    <col customWidth="1" min="14" max="14" width="11.86"/>
    <col customWidth="1" min="15" max="15" width="29.14"/>
    <col customWidth="1" min="16" max="16" width="10.14"/>
    <col customWidth="1" min="17" max="19" width="14.0"/>
    <col customWidth="1" min="20" max="20" width="9.57"/>
    <col customWidth="1" min="21" max="21" width="9.86"/>
    <col customWidth="1" min="22" max="22" width="9.57"/>
    <col customWidth="1" min="23" max="23" width="9.86"/>
    <col customWidth="1" min="24" max="24" width="10.29"/>
    <col customWidth="1" min="25" max="25" width="11.71"/>
    <col customWidth="1" min="26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31</v>
      </c>
      <c r="F2" s="3">
        <v>45323.0</v>
      </c>
      <c r="G2" s="3">
        <v>45332.0</v>
      </c>
      <c r="H2" s="3">
        <v>45323.0</v>
      </c>
      <c r="I2" s="3">
        <v>45331.0</v>
      </c>
      <c r="J2" s="3">
        <v>45323.0</v>
      </c>
      <c r="K2" s="3">
        <v>45331.0</v>
      </c>
      <c r="L2" s="4">
        <v>1.0</v>
      </c>
      <c r="M2" s="5" t="str">
        <f t="shared" ref="M2:M9" si="1">IF(L2=1,IF(K2&gt;G2,"Delayed","Completed"),IF(L2=0,"Not Started",IF(I2&gt;G2,"Delayed","In Progress")))</f>
        <v>Completed</v>
      </c>
      <c r="N2" s="2">
        <f t="shared" ref="N2:N9" si="2">I2-G2</f>
        <v>-1</v>
      </c>
      <c r="O2" s="2" t="s">
        <v>44</v>
      </c>
      <c r="P2" s="2" t="s">
        <v>45</v>
      </c>
      <c r="Q2" s="6">
        <v>20000.0</v>
      </c>
      <c r="R2" s="6">
        <v>20000.0</v>
      </c>
      <c r="S2" s="6">
        <v>20000.0</v>
      </c>
      <c r="T2" s="2"/>
      <c r="U2" s="2"/>
      <c r="V2" s="2"/>
      <c r="W2" s="2"/>
      <c r="X2" s="2"/>
      <c r="Y2" s="7" t="str">
        <f t="shared" ref="Y2:Y9" si="3">IF(OR(T2="",U2=""),"",IFERROR((W2/U2)/(V2/T2),""))</f>
        <v/>
      </c>
    </row>
    <row r="3">
      <c r="A3" s="2" t="s">
        <v>50</v>
      </c>
      <c r="B3" s="2" t="s">
        <v>51</v>
      </c>
      <c r="C3" s="2" t="s">
        <v>27</v>
      </c>
      <c r="D3" s="2" t="s">
        <v>28</v>
      </c>
      <c r="E3" s="2" t="s">
        <v>31</v>
      </c>
      <c r="F3" s="3">
        <v>45327.0</v>
      </c>
      <c r="G3" s="3">
        <v>45347.0</v>
      </c>
      <c r="H3" s="3">
        <v>45328.0</v>
      </c>
      <c r="I3" s="3">
        <v>45353.0</v>
      </c>
      <c r="J3" s="3">
        <v>45328.0</v>
      </c>
      <c r="K3" s="3">
        <v>45353.0</v>
      </c>
      <c r="L3" s="4">
        <v>1.0</v>
      </c>
      <c r="M3" s="5" t="str">
        <f t="shared" si="1"/>
        <v>Delayed</v>
      </c>
      <c r="N3" s="2">
        <f t="shared" si="2"/>
        <v>6</v>
      </c>
      <c r="O3" s="2" t="s">
        <v>55</v>
      </c>
      <c r="P3" s="2" t="s">
        <v>56</v>
      </c>
      <c r="Q3" s="6">
        <v>35000.0</v>
      </c>
      <c r="R3" s="6">
        <v>35000.0</v>
      </c>
      <c r="S3" s="6">
        <v>35000.0</v>
      </c>
      <c r="T3" s="2"/>
      <c r="U3" s="2"/>
      <c r="V3" s="2"/>
      <c r="W3" s="2"/>
      <c r="X3" s="2"/>
      <c r="Y3" s="7" t="str">
        <f t="shared" si="3"/>
        <v/>
      </c>
    </row>
    <row r="4">
      <c r="A4" s="2" t="s">
        <v>63</v>
      </c>
      <c r="B4" s="2" t="s">
        <v>64</v>
      </c>
      <c r="C4" s="2" t="s">
        <v>27</v>
      </c>
      <c r="D4" s="2" t="s">
        <v>28</v>
      </c>
      <c r="E4" s="2" t="s">
        <v>38</v>
      </c>
      <c r="F4" s="3">
        <v>45332.0</v>
      </c>
      <c r="G4" s="3">
        <v>45352.0</v>
      </c>
      <c r="H4" s="3">
        <v>45333.0</v>
      </c>
      <c r="I4" s="3">
        <v>45355.0</v>
      </c>
      <c r="J4" s="3">
        <v>45333.0</v>
      </c>
      <c r="K4" s="3">
        <v>45355.0</v>
      </c>
      <c r="L4" s="4">
        <v>1.0</v>
      </c>
      <c r="M4" s="5" t="str">
        <f t="shared" si="1"/>
        <v>Delayed</v>
      </c>
      <c r="N4" s="2">
        <f t="shared" si="2"/>
        <v>3</v>
      </c>
      <c r="O4" s="2" t="s">
        <v>70</v>
      </c>
      <c r="P4" s="2" t="s">
        <v>47</v>
      </c>
      <c r="Q4" s="6">
        <v>40000.0</v>
      </c>
      <c r="R4" s="6">
        <v>40000.0</v>
      </c>
      <c r="S4" s="6">
        <v>40000.0</v>
      </c>
      <c r="T4" s="2"/>
      <c r="U4" s="2"/>
      <c r="V4" s="2"/>
      <c r="W4" s="2"/>
      <c r="X4" s="2"/>
      <c r="Y4" s="7" t="str">
        <f t="shared" si="3"/>
        <v/>
      </c>
    </row>
    <row r="5">
      <c r="A5" s="2" t="s">
        <v>75</v>
      </c>
      <c r="B5" s="2" t="s">
        <v>76</v>
      </c>
      <c r="C5" s="2" t="s">
        <v>27</v>
      </c>
      <c r="D5" s="2" t="s">
        <v>77</v>
      </c>
      <c r="E5" s="2" t="s">
        <v>38</v>
      </c>
      <c r="F5" s="3">
        <v>45337.0</v>
      </c>
      <c r="G5" s="3">
        <v>45361.0</v>
      </c>
      <c r="H5" s="3">
        <v>45340.0</v>
      </c>
      <c r="I5" s="3">
        <v>45366.0</v>
      </c>
      <c r="J5" s="3">
        <v>45340.0</v>
      </c>
      <c r="K5" s="3">
        <v>45366.0</v>
      </c>
      <c r="L5" s="4">
        <v>1.0</v>
      </c>
      <c r="M5" s="5" t="str">
        <f t="shared" si="1"/>
        <v>Delayed</v>
      </c>
      <c r="N5" s="2">
        <f t="shared" si="2"/>
        <v>5</v>
      </c>
      <c r="O5" s="2" t="s">
        <v>84</v>
      </c>
      <c r="P5" s="2" t="s">
        <v>47</v>
      </c>
      <c r="Q5" s="6">
        <v>190000.0</v>
      </c>
      <c r="R5" s="6">
        <v>187500.0</v>
      </c>
      <c r="S5" s="6">
        <v>190000.0</v>
      </c>
      <c r="T5" s="2"/>
      <c r="U5" s="2"/>
      <c r="V5" s="2"/>
      <c r="W5" s="2"/>
      <c r="X5" s="2"/>
      <c r="Y5" s="7" t="str">
        <f t="shared" si="3"/>
        <v/>
      </c>
    </row>
    <row r="6">
      <c r="A6" s="2" t="s">
        <v>90</v>
      </c>
      <c r="B6" s="2" t="s">
        <v>91</v>
      </c>
      <c r="C6" s="2" t="s">
        <v>27</v>
      </c>
      <c r="D6" s="2" t="s">
        <v>28</v>
      </c>
      <c r="E6" s="2" t="s">
        <v>31</v>
      </c>
      <c r="F6" s="3">
        <v>45334.0</v>
      </c>
      <c r="G6" s="3">
        <v>45350.0</v>
      </c>
      <c r="H6" s="3">
        <v>45334.0</v>
      </c>
      <c r="I6" s="3">
        <v>45350.0</v>
      </c>
      <c r="J6" s="3">
        <v>45334.0</v>
      </c>
      <c r="K6" s="3">
        <v>45350.0</v>
      </c>
      <c r="L6" s="4">
        <v>1.0</v>
      </c>
      <c r="M6" s="5" t="str">
        <f t="shared" si="1"/>
        <v>Completed</v>
      </c>
      <c r="N6" s="2">
        <f t="shared" si="2"/>
        <v>0</v>
      </c>
      <c r="O6" s="2" t="s">
        <v>44</v>
      </c>
      <c r="P6" s="2" t="s">
        <v>45</v>
      </c>
      <c r="Q6" s="6">
        <v>15000.0</v>
      </c>
      <c r="R6" s="6">
        <v>15000.0</v>
      </c>
      <c r="S6" s="6">
        <v>15000.0</v>
      </c>
      <c r="T6" s="2"/>
      <c r="U6" s="2"/>
      <c r="V6" s="2"/>
      <c r="W6" s="2"/>
      <c r="X6" s="2"/>
      <c r="Y6" s="7" t="str">
        <f t="shared" si="3"/>
        <v/>
      </c>
    </row>
    <row r="7">
      <c r="A7" s="2" t="s">
        <v>100</v>
      </c>
      <c r="B7" s="2" t="s">
        <v>101</v>
      </c>
      <c r="C7" s="2" t="s">
        <v>27</v>
      </c>
      <c r="D7" s="2" t="s">
        <v>28</v>
      </c>
      <c r="E7" s="2" t="s">
        <v>38</v>
      </c>
      <c r="F7" s="3">
        <v>45352.0</v>
      </c>
      <c r="G7" s="3">
        <v>45369.0</v>
      </c>
      <c r="H7" s="3">
        <v>45352.0</v>
      </c>
      <c r="I7" s="3">
        <v>45373.0</v>
      </c>
      <c r="J7" s="3">
        <v>45352.0</v>
      </c>
      <c r="K7" s="3">
        <v>45373.0</v>
      </c>
      <c r="L7" s="4">
        <v>1.0</v>
      </c>
      <c r="M7" s="5" t="str">
        <f t="shared" si="1"/>
        <v>Delayed</v>
      </c>
      <c r="N7" s="2">
        <f t="shared" si="2"/>
        <v>4</v>
      </c>
      <c r="O7" s="2" t="s">
        <v>106</v>
      </c>
      <c r="P7" s="2" t="s">
        <v>56</v>
      </c>
      <c r="Q7" s="6">
        <v>25000.0</v>
      </c>
      <c r="R7" s="6">
        <v>26500.0</v>
      </c>
      <c r="S7" s="6">
        <v>26500.0</v>
      </c>
      <c r="T7" s="2"/>
      <c r="U7" s="2"/>
      <c r="V7" s="2"/>
      <c r="W7" s="2"/>
      <c r="X7" s="2"/>
      <c r="Y7" s="7" t="str">
        <f t="shared" si="3"/>
        <v/>
      </c>
    </row>
    <row r="8">
      <c r="A8" s="2" t="s">
        <v>110</v>
      </c>
      <c r="B8" s="2" t="s">
        <v>113</v>
      </c>
      <c r="C8" s="2" t="s">
        <v>27</v>
      </c>
      <c r="D8" s="2" t="s">
        <v>28</v>
      </c>
      <c r="E8" s="2" t="s">
        <v>31</v>
      </c>
      <c r="F8" s="3">
        <v>45330.0</v>
      </c>
      <c r="G8" s="3">
        <v>45342.0</v>
      </c>
      <c r="H8" s="3">
        <v>45330.0</v>
      </c>
      <c r="I8" s="3">
        <v>45342.0</v>
      </c>
      <c r="J8" s="3">
        <v>45330.0</v>
      </c>
      <c r="K8" s="3">
        <v>45342.0</v>
      </c>
      <c r="L8" s="4">
        <v>1.0</v>
      </c>
      <c r="M8" s="5" t="str">
        <f t="shared" si="1"/>
        <v>Completed</v>
      </c>
      <c r="N8" s="2">
        <f t="shared" si="2"/>
        <v>0</v>
      </c>
      <c r="O8" s="2" t="s">
        <v>44</v>
      </c>
      <c r="P8" s="2" t="s">
        <v>45</v>
      </c>
      <c r="Q8" s="6">
        <v>12000.0</v>
      </c>
      <c r="R8" s="6">
        <v>12000.0</v>
      </c>
      <c r="S8" s="6">
        <v>12000.0</v>
      </c>
      <c r="T8" s="2"/>
      <c r="U8" s="2"/>
      <c r="V8" s="2"/>
      <c r="W8" s="2"/>
      <c r="X8" s="2"/>
      <c r="Y8" s="7" t="str">
        <f t="shared" si="3"/>
        <v/>
      </c>
    </row>
    <row r="9">
      <c r="A9" s="2" t="s">
        <v>118</v>
      </c>
      <c r="B9" s="2" t="s">
        <v>120</v>
      </c>
      <c r="C9" s="2" t="s">
        <v>27</v>
      </c>
      <c r="D9" s="2" t="s">
        <v>28</v>
      </c>
      <c r="E9" s="2" t="s">
        <v>38</v>
      </c>
      <c r="F9" s="3">
        <v>45356.0</v>
      </c>
      <c r="G9" s="3">
        <v>45376.0</v>
      </c>
      <c r="H9" s="3">
        <v>45356.0</v>
      </c>
      <c r="I9" s="3">
        <v>45381.0</v>
      </c>
      <c r="J9" s="3">
        <v>45356.0</v>
      </c>
      <c r="K9" s="3">
        <v>45381.0</v>
      </c>
      <c r="L9" s="4">
        <v>1.0</v>
      </c>
      <c r="M9" s="5" t="str">
        <f t="shared" si="1"/>
        <v>Delayed</v>
      </c>
      <c r="N9" s="2">
        <f t="shared" si="2"/>
        <v>5</v>
      </c>
      <c r="O9" s="2" t="s">
        <v>126</v>
      </c>
      <c r="P9" s="2" t="s">
        <v>56</v>
      </c>
      <c r="Q9" s="6">
        <v>28000.0</v>
      </c>
      <c r="R9" s="6">
        <v>29500.0</v>
      </c>
      <c r="S9" s="6">
        <v>29500.0</v>
      </c>
      <c r="T9" s="2"/>
      <c r="U9" s="2"/>
      <c r="V9" s="2"/>
      <c r="W9" s="2"/>
      <c r="X9" s="2"/>
      <c r="Y9" s="7" t="str">
        <f t="shared" si="3"/>
        <v/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Y$9"/>
  <conditionalFormatting sqref="M2:M9">
    <cfRule type="expression" dxfId="0" priority="1">
      <formula>M2="Delayed"</formula>
    </cfRule>
  </conditionalFormatting>
  <conditionalFormatting sqref="M2:M9">
    <cfRule type="expression" dxfId="1" priority="2">
      <formula>M2="In Progress"</formula>
    </cfRule>
  </conditionalFormatting>
  <conditionalFormatting sqref="M2:M9">
    <cfRule type="expression" dxfId="2" priority="3">
      <formula>M2="Completed"</formula>
    </cfRule>
  </conditionalFormatting>
  <conditionalFormatting sqref="M2:M9">
    <cfRule type="expression" dxfId="3" priority="4">
      <formula>M2="Not Started"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3.71"/>
    <col customWidth="1" min="3" max="3" width="12.0"/>
    <col customWidth="1" min="4" max="4" width="27.14"/>
    <col customWidth="1" min="5" max="5" width="7.0"/>
    <col customWidth="1" min="6" max="7" width="10.71"/>
    <col customWidth="1" min="8" max="8" width="10.57"/>
    <col customWidth="1" min="9" max="9" width="10.29"/>
    <col customWidth="1" min="10" max="10" width="10.0"/>
    <col customWidth="1" min="11" max="12" width="9.86"/>
    <col customWidth="1" min="13" max="13" width="12.43"/>
    <col customWidth="1" min="14" max="14" width="11.86"/>
    <col customWidth="1" min="15" max="15" width="35.14"/>
    <col customWidth="1" min="16" max="16" width="10.14"/>
    <col customWidth="1" min="17" max="19" width="14.0"/>
    <col customWidth="1" min="20" max="20" width="9.57"/>
    <col customWidth="1" min="21" max="21" width="9.86"/>
    <col customWidth="1" min="22" max="22" width="9.57"/>
    <col customWidth="1" min="23" max="23" width="9.86"/>
    <col customWidth="1" min="24" max="24" width="10.29"/>
    <col customWidth="1" min="25" max="25" width="11.71"/>
    <col customWidth="1" min="26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29</v>
      </c>
      <c r="B2" s="2" t="s">
        <v>32</v>
      </c>
      <c r="C2" s="2" t="s">
        <v>35</v>
      </c>
      <c r="D2" s="2" t="s">
        <v>37</v>
      </c>
      <c r="E2" s="2" t="s">
        <v>38</v>
      </c>
      <c r="F2" s="3">
        <v>45342.0</v>
      </c>
      <c r="G2" s="3">
        <v>45356.0</v>
      </c>
      <c r="H2" s="3">
        <v>45342.0</v>
      </c>
      <c r="I2" s="3">
        <v>45356.0</v>
      </c>
      <c r="J2" s="3">
        <v>45342.0</v>
      </c>
      <c r="K2" s="3">
        <v>45356.0</v>
      </c>
      <c r="L2" s="4">
        <v>1.0</v>
      </c>
      <c r="M2" s="5" t="str">
        <f t="shared" ref="M2:M9" si="1">IF(L2=1,IF(K2&gt;G2,"Delayed","Completed"),IF(L2=0,"Not Started",IF(I2&gt;G2,"Delayed","In Progress")))</f>
        <v>Completed</v>
      </c>
      <c r="N2" s="2">
        <f t="shared" ref="N2:N9" si="2">I2-G2</f>
        <v>0</v>
      </c>
      <c r="O2" s="2" t="s">
        <v>44</v>
      </c>
      <c r="P2" s="2" t="s">
        <v>45</v>
      </c>
      <c r="Q2" s="6">
        <v>60000.0</v>
      </c>
      <c r="R2" s="6">
        <v>60000.0</v>
      </c>
      <c r="S2" s="6">
        <v>60000.0</v>
      </c>
      <c r="T2" s="2"/>
      <c r="U2" s="2"/>
      <c r="V2" s="2"/>
      <c r="W2" s="2"/>
      <c r="X2" s="2"/>
      <c r="Y2" s="7" t="str">
        <f t="shared" ref="Y2:Y9" si="3">IF(OR(T2="",U2=""),"",IFERROR((W2/U2)/(V2/T2),""))</f>
        <v/>
      </c>
    </row>
    <row r="3">
      <c r="A3" s="2" t="s">
        <v>59</v>
      </c>
      <c r="B3" s="2" t="s">
        <v>60</v>
      </c>
      <c r="C3" s="2" t="s">
        <v>35</v>
      </c>
      <c r="D3" s="2" t="s">
        <v>37</v>
      </c>
      <c r="E3" s="2" t="s">
        <v>38</v>
      </c>
      <c r="F3" s="3">
        <v>45347.0</v>
      </c>
      <c r="G3" s="3">
        <v>45359.0</v>
      </c>
      <c r="H3" s="3">
        <v>45350.0</v>
      </c>
      <c r="I3" s="3">
        <v>45365.0</v>
      </c>
      <c r="J3" s="3">
        <v>45350.0</v>
      </c>
      <c r="K3" s="3">
        <v>45365.0</v>
      </c>
      <c r="L3" s="4">
        <v>1.0</v>
      </c>
      <c r="M3" s="5" t="str">
        <f t="shared" si="1"/>
        <v>Delayed</v>
      </c>
      <c r="N3" s="2">
        <f t="shared" si="2"/>
        <v>6</v>
      </c>
      <c r="O3" s="2" t="s">
        <v>69</v>
      </c>
      <c r="P3" s="2" t="s">
        <v>47</v>
      </c>
      <c r="Q3" s="6">
        <v>70000.0</v>
      </c>
      <c r="R3" s="6">
        <v>68000.0</v>
      </c>
      <c r="S3" s="6">
        <v>70000.0</v>
      </c>
      <c r="T3" s="2"/>
      <c r="U3" s="2"/>
      <c r="V3" s="2"/>
      <c r="W3" s="2"/>
      <c r="X3" s="2"/>
      <c r="Y3" s="7" t="str">
        <f t="shared" si="3"/>
        <v/>
      </c>
    </row>
    <row r="4">
      <c r="A4" s="2" t="s">
        <v>79</v>
      </c>
      <c r="B4" s="2" t="s">
        <v>81</v>
      </c>
      <c r="C4" s="2" t="s">
        <v>35</v>
      </c>
      <c r="D4" s="2" t="s">
        <v>37</v>
      </c>
      <c r="E4" s="2" t="s">
        <v>38</v>
      </c>
      <c r="F4" s="3">
        <v>45352.0</v>
      </c>
      <c r="G4" s="3">
        <v>45371.0</v>
      </c>
      <c r="H4" s="3">
        <v>45356.0</v>
      </c>
      <c r="I4" s="3">
        <v>45381.0</v>
      </c>
      <c r="J4" s="3">
        <v>45356.0</v>
      </c>
      <c r="K4" s="3">
        <v>45381.0</v>
      </c>
      <c r="L4" s="4">
        <v>1.0</v>
      </c>
      <c r="M4" s="5" t="str">
        <f t="shared" si="1"/>
        <v>Delayed</v>
      </c>
      <c r="N4" s="2">
        <f t="shared" si="2"/>
        <v>10</v>
      </c>
      <c r="O4" s="2" t="s">
        <v>88</v>
      </c>
      <c r="P4" s="2" t="s">
        <v>62</v>
      </c>
      <c r="Q4" s="6">
        <v>100000.0</v>
      </c>
      <c r="R4" s="6">
        <v>95000.0</v>
      </c>
      <c r="S4" s="6">
        <v>98000.0</v>
      </c>
      <c r="T4" s="2"/>
      <c r="U4" s="2"/>
      <c r="V4" s="2"/>
      <c r="W4" s="2"/>
      <c r="X4" s="2"/>
      <c r="Y4" s="7" t="str">
        <f t="shared" si="3"/>
        <v/>
      </c>
    </row>
    <row r="5">
      <c r="A5" s="2" t="s">
        <v>94</v>
      </c>
      <c r="B5" s="2" t="s">
        <v>96</v>
      </c>
      <c r="C5" s="2" t="s">
        <v>35</v>
      </c>
      <c r="D5" s="2" t="s">
        <v>37</v>
      </c>
      <c r="E5" s="2" t="s">
        <v>68</v>
      </c>
      <c r="F5" s="3">
        <v>45356.0</v>
      </c>
      <c r="G5" s="3">
        <v>45383.0</v>
      </c>
      <c r="H5" s="3">
        <v>45361.0</v>
      </c>
      <c r="I5" s="3">
        <v>45415.0</v>
      </c>
      <c r="J5" s="3">
        <v>45361.0</v>
      </c>
      <c r="K5" s="2"/>
      <c r="L5" s="4">
        <v>0.7</v>
      </c>
      <c r="M5" s="5" t="str">
        <f t="shared" si="1"/>
        <v>Delayed</v>
      </c>
      <c r="N5" s="2">
        <f t="shared" si="2"/>
        <v>32</v>
      </c>
      <c r="O5" s="2" t="s">
        <v>105</v>
      </c>
      <c r="P5" s="2" t="s">
        <v>62</v>
      </c>
      <c r="Q5" s="6">
        <v>80000.0</v>
      </c>
      <c r="R5" s="6">
        <v>75000.0</v>
      </c>
      <c r="S5" s="6">
        <v>77000.0</v>
      </c>
      <c r="T5" s="2"/>
      <c r="U5" s="2"/>
      <c r="V5" s="2"/>
      <c r="W5" s="2"/>
      <c r="X5" s="2"/>
      <c r="Y5" s="7" t="str">
        <f t="shared" si="3"/>
        <v/>
      </c>
    </row>
    <row r="6">
      <c r="A6" s="2" t="s">
        <v>107</v>
      </c>
      <c r="B6" s="2" t="s">
        <v>109</v>
      </c>
      <c r="C6" s="2" t="s">
        <v>35</v>
      </c>
      <c r="D6" s="2" t="s">
        <v>112</v>
      </c>
      <c r="E6" s="2" t="s">
        <v>38</v>
      </c>
      <c r="F6" s="3">
        <v>45361.0</v>
      </c>
      <c r="G6" s="3">
        <v>45392.0</v>
      </c>
      <c r="H6" s="3">
        <v>45363.0</v>
      </c>
      <c r="I6" s="3">
        <v>45402.0</v>
      </c>
      <c r="J6" s="3">
        <v>45363.0</v>
      </c>
      <c r="K6" s="2"/>
      <c r="L6" s="4">
        <v>0.8</v>
      </c>
      <c r="M6" s="5" t="str">
        <f t="shared" si="1"/>
        <v>Delayed</v>
      </c>
      <c r="N6" s="2">
        <f t="shared" si="2"/>
        <v>10</v>
      </c>
      <c r="O6" s="2" t="s">
        <v>116</v>
      </c>
      <c r="P6" s="2" t="s">
        <v>47</v>
      </c>
      <c r="Q6" s="6">
        <v>220000.0</v>
      </c>
      <c r="R6" s="6">
        <v>180000.0</v>
      </c>
      <c r="S6" s="6">
        <v>225000.0</v>
      </c>
      <c r="T6" s="2"/>
      <c r="U6" s="2"/>
      <c r="V6" s="2"/>
      <c r="W6" s="2"/>
      <c r="X6" s="2"/>
      <c r="Y6" s="7" t="str">
        <f t="shared" si="3"/>
        <v/>
      </c>
    </row>
    <row r="7">
      <c r="A7" s="2" t="s">
        <v>123</v>
      </c>
      <c r="B7" s="2" t="s">
        <v>124</v>
      </c>
      <c r="C7" s="2" t="s">
        <v>35</v>
      </c>
      <c r="D7" s="2" t="s">
        <v>122</v>
      </c>
      <c r="E7" s="2" t="s">
        <v>68</v>
      </c>
      <c r="F7" s="3">
        <v>45371.0</v>
      </c>
      <c r="G7" s="3">
        <v>45397.0</v>
      </c>
      <c r="H7" s="3">
        <v>45376.0</v>
      </c>
      <c r="I7" s="3">
        <v>45412.0</v>
      </c>
      <c r="J7" s="3">
        <v>45376.0</v>
      </c>
      <c r="K7" s="2"/>
      <c r="L7" s="4">
        <v>0.5</v>
      </c>
      <c r="M7" s="5" t="str">
        <f t="shared" si="1"/>
        <v>Delayed</v>
      </c>
      <c r="N7" s="2">
        <f t="shared" si="2"/>
        <v>15</v>
      </c>
      <c r="O7" s="2" t="s">
        <v>131</v>
      </c>
      <c r="P7" s="2" t="s">
        <v>62</v>
      </c>
      <c r="Q7" s="6">
        <v>260000.0</v>
      </c>
      <c r="R7" s="6">
        <v>140000.0</v>
      </c>
      <c r="S7" s="6">
        <v>270000.0</v>
      </c>
      <c r="T7" s="2"/>
      <c r="U7" s="2"/>
      <c r="V7" s="2"/>
      <c r="W7" s="2"/>
      <c r="X7" s="2"/>
      <c r="Y7" s="7" t="str">
        <f t="shared" si="3"/>
        <v/>
      </c>
    </row>
    <row r="8">
      <c r="A8" s="2" t="s">
        <v>133</v>
      </c>
      <c r="B8" s="2" t="s">
        <v>134</v>
      </c>
      <c r="C8" s="2" t="s">
        <v>35</v>
      </c>
      <c r="D8" s="2" t="s">
        <v>130</v>
      </c>
      <c r="E8" s="2" t="s">
        <v>68</v>
      </c>
      <c r="F8" s="3">
        <v>45387.0</v>
      </c>
      <c r="G8" s="3">
        <v>45407.0</v>
      </c>
      <c r="H8" s="3">
        <v>45390.0</v>
      </c>
      <c r="I8" s="3">
        <v>45414.0</v>
      </c>
      <c r="J8" s="3">
        <v>45390.0</v>
      </c>
      <c r="K8" s="2"/>
      <c r="L8" s="4">
        <v>0.6</v>
      </c>
      <c r="M8" s="5" t="str">
        <f t="shared" si="1"/>
        <v>Delayed</v>
      </c>
      <c r="N8" s="2">
        <f t="shared" si="2"/>
        <v>7</v>
      </c>
      <c r="O8" s="2" t="s">
        <v>138</v>
      </c>
      <c r="P8" s="2" t="s">
        <v>47</v>
      </c>
      <c r="Q8" s="6">
        <v>95000.0</v>
      </c>
      <c r="R8" s="6">
        <v>58000.0</v>
      </c>
      <c r="S8" s="6">
        <v>98000.0</v>
      </c>
      <c r="T8" s="2"/>
      <c r="U8" s="2"/>
      <c r="V8" s="2"/>
      <c r="W8" s="2"/>
      <c r="X8" s="2"/>
      <c r="Y8" s="7" t="str">
        <f t="shared" si="3"/>
        <v/>
      </c>
    </row>
    <row r="9">
      <c r="A9" s="2" t="s">
        <v>141</v>
      </c>
      <c r="B9" s="2" t="s">
        <v>142</v>
      </c>
      <c r="C9" s="2" t="s">
        <v>35</v>
      </c>
      <c r="D9" s="2" t="s">
        <v>143</v>
      </c>
      <c r="E9" s="2" t="s">
        <v>43</v>
      </c>
      <c r="F9" s="3">
        <v>45427.0</v>
      </c>
      <c r="G9" s="3">
        <v>45442.0</v>
      </c>
      <c r="H9" s="3">
        <v>45427.0</v>
      </c>
      <c r="I9" s="3">
        <v>45442.0</v>
      </c>
      <c r="J9" s="2"/>
      <c r="K9" s="2"/>
      <c r="L9" s="4">
        <v>0.0</v>
      </c>
      <c r="M9" s="5" t="str">
        <f t="shared" si="1"/>
        <v>Not Started</v>
      </c>
      <c r="N9" s="2">
        <f t="shared" si="2"/>
        <v>0</v>
      </c>
      <c r="O9" s="2" t="s">
        <v>44</v>
      </c>
      <c r="P9" s="2" t="s">
        <v>45</v>
      </c>
      <c r="Q9" s="6">
        <v>40000.0</v>
      </c>
      <c r="R9" s="6">
        <v>0.0</v>
      </c>
      <c r="S9" s="6">
        <v>40000.0</v>
      </c>
      <c r="T9" s="2"/>
      <c r="U9" s="2"/>
      <c r="V9" s="2"/>
      <c r="W9" s="2"/>
      <c r="X9" s="2"/>
      <c r="Y9" s="7" t="str">
        <f t="shared" si="3"/>
        <v/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Y$9"/>
  <conditionalFormatting sqref="M2:M9">
    <cfRule type="expression" dxfId="0" priority="1">
      <formula>M2="Delayed"</formula>
    </cfRule>
  </conditionalFormatting>
  <conditionalFormatting sqref="M2:M9">
    <cfRule type="expression" dxfId="1" priority="2">
      <formula>M2="In Progress"</formula>
    </cfRule>
  </conditionalFormatting>
  <conditionalFormatting sqref="M2:M9">
    <cfRule type="expression" dxfId="2" priority="3">
      <formula>M2="Completed"</formula>
    </cfRule>
  </conditionalFormatting>
  <conditionalFormatting sqref="M2:M9">
    <cfRule type="expression" dxfId="3" priority="4">
      <formula>M2="Not Started"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4.43"/>
    <col customWidth="1" min="3" max="3" width="11.86"/>
    <col customWidth="1" min="4" max="4" width="27.14"/>
    <col customWidth="1" min="5" max="5" width="7.0"/>
    <col customWidth="1" min="6" max="7" width="10.71"/>
    <col customWidth="1" min="8" max="8" width="10.57"/>
    <col customWidth="1" min="9" max="10" width="10.29"/>
    <col customWidth="1" min="11" max="11" width="10.0"/>
    <col customWidth="1" min="12" max="12" width="9.86"/>
    <col customWidth="1" min="13" max="13" width="12.43"/>
    <col customWidth="1" min="14" max="14" width="11.86"/>
    <col customWidth="1" min="15" max="15" width="37.71"/>
    <col customWidth="1" min="16" max="16" width="10.14"/>
    <col customWidth="1" min="17" max="19" width="14.0"/>
    <col customWidth="1" min="20" max="20" width="9.57"/>
    <col customWidth="1" min="21" max="21" width="9.86"/>
    <col customWidth="1" min="22" max="22" width="9.57"/>
    <col customWidth="1" min="23" max="23" width="9.86"/>
    <col customWidth="1" min="24" max="24" width="14.29"/>
    <col customWidth="1" min="25" max="25" width="11.71"/>
    <col customWidth="1" min="26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30</v>
      </c>
      <c r="B2" s="2" t="s">
        <v>33</v>
      </c>
      <c r="C2" s="2" t="s">
        <v>34</v>
      </c>
      <c r="D2" s="2" t="s">
        <v>36</v>
      </c>
      <c r="E2" s="2" t="s">
        <v>38</v>
      </c>
      <c r="F2" s="3">
        <v>45352.0</v>
      </c>
      <c r="G2" s="3">
        <v>45366.0</v>
      </c>
      <c r="H2" s="3">
        <v>45354.0</v>
      </c>
      <c r="I2" s="3">
        <v>45371.0</v>
      </c>
      <c r="J2" s="3">
        <v>45354.0</v>
      </c>
      <c r="K2" s="3">
        <v>45371.0</v>
      </c>
      <c r="L2" s="4">
        <v>1.0</v>
      </c>
      <c r="M2" s="5" t="str">
        <f t="shared" ref="M2:M14" si="1">IF(L2=1,IF(K2&gt;G2,"Delayed","Completed"),IF(L2=0,"Not Started",IF(I2&gt;G2,"Delayed","In Progress")))</f>
        <v>Delayed</v>
      </c>
      <c r="N2" s="2">
        <f t="shared" ref="N2:N14" si="2">I2-G2</f>
        <v>5</v>
      </c>
      <c r="O2" s="2" t="s">
        <v>46</v>
      </c>
      <c r="P2" s="2" t="s">
        <v>47</v>
      </c>
      <c r="Q2" s="6">
        <v>80000.0</v>
      </c>
      <c r="R2" s="6">
        <v>85000.0</v>
      </c>
      <c r="S2" s="6">
        <v>88000.0</v>
      </c>
      <c r="T2" s="2">
        <v>4200.0</v>
      </c>
      <c r="U2" s="2">
        <v>4850.0</v>
      </c>
      <c r="V2" s="2">
        <v>620.0</v>
      </c>
      <c r="W2" s="2">
        <v>540.0</v>
      </c>
      <c r="X2" s="2" t="s">
        <v>49</v>
      </c>
      <c r="Y2" s="7">
        <f t="shared" ref="Y2:Y14" si="3">IF(OR(T2="",U2=""),"",IFERROR((W2/U2)/(V2/T2),""))</f>
        <v>0.7542401064</v>
      </c>
    </row>
    <row r="3">
      <c r="A3" s="2" t="s">
        <v>52</v>
      </c>
      <c r="B3" s="2" t="s">
        <v>54</v>
      </c>
      <c r="C3" s="2" t="s">
        <v>34</v>
      </c>
      <c r="D3" s="2" t="s">
        <v>36</v>
      </c>
      <c r="E3" s="2" t="s">
        <v>38</v>
      </c>
      <c r="F3" s="3">
        <v>45361.0</v>
      </c>
      <c r="G3" s="3">
        <v>45379.0</v>
      </c>
      <c r="H3" s="3">
        <v>45366.0</v>
      </c>
      <c r="I3" s="3">
        <v>45387.0</v>
      </c>
      <c r="J3" s="3">
        <v>45366.0</v>
      </c>
      <c r="K3" s="3">
        <v>45387.0</v>
      </c>
      <c r="L3" s="4">
        <v>1.0</v>
      </c>
      <c r="M3" s="5" t="str">
        <f t="shared" si="1"/>
        <v>Delayed</v>
      </c>
      <c r="N3" s="2">
        <f t="shared" si="2"/>
        <v>8</v>
      </c>
      <c r="O3" s="2" t="s">
        <v>61</v>
      </c>
      <c r="P3" s="2" t="s">
        <v>62</v>
      </c>
      <c r="Q3" s="6">
        <v>120000.0</v>
      </c>
      <c r="R3" s="6">
        <v>128000.0</v>
      </c>
      <c r="S3" s="6">
        <v>132000.0</v>
      </c>
      <c r="T3" s="2">
        <v>3100.0</v>
      </c>
      <c r="U3" s="2">
        <v>3400.0</v>
      </c>
      <c r="V3" s="2">
        <v>85.0</v>
      </c>
      <c r="W3" s="2">
        <v>76.0</v>
      </c>
      <c r="X3" s="2" t="s">
        <v>65</v>
      </c>
      <c r="Y3" s="7">
        <f t="shared" si="3"/>
        <v>0.8152249135</v>
      </c>
    </row>
    <row r="4">
      <c r="A4" s="2" t="s">
        <v>66</v>
      </c>
      <c r="B4" s="2" t="s">
        <v>67</v>
      </c>
      <c r="C4" s="2" t="s">
        <v>34</v>
      </c>
      <c r="D4" s="2" t="s">
        <v>36</v>
      </c>
      <c r="E4" s="2" t="s">
        <v>68</v>
      </c>
      <c r="F4" s="3">
        <v>45376.0</v>
      </c>
      <c r="G4" s="3">
        <v>45387.0</v>
      </c>
      <c r="H4" s="3">
        <v>45383.0</v>
      </c>
      <c r="I4" s="3">
        <v>45410.0</v>
      </c>
      <c r="J4" s="3">
        <v>45383.0</v>
      </c>
      <c r="K4" s="2"/>
      <c r="L4" s="4">
        <v>0.6</v>
      </c>
      <c r="M4" s="5" t="str">
        <f t="shared" si="1"/>
        <v>Delayed</v>
      </c>
      <c r="N4" s="2">
        <f t="shared" si="2"/>
        <v>23</v>
      </c>
      <c r="O4" s="2" t="s">
        <v>73</v>
      </c>
      <c r="P4" s="2" t="s">
        <v>47</v>
      </c>
      <c r="Q4" s="6">
        <v>60000.0</v>
      </c>
      <c r="R4" s="6">
        <v>62000.0</v>
      </c>
      <c r="S4" s="6">
        <v>64000.0</v>
      </c>
      <c r="T4" s="2">
        <v>1800.0</v>
      </c>
      <c r="U4" s="2">
        <v>1650.0</v>
      </c>
      <c r="V4" s="2">
        <v>40.0</v>
      </c>
      <c r="W4" s="2">
        <v>34.0</v>
      </c>
      <c r="X4" s="2" t="s">
        <v>78</v>
      </c>
      <c r="Y4" s="7">
        <f t="shared" si="3"/>
        <v>0.9272727273</v>
      </c>
    </row>
    <row r="5">
      <c r="A5" s="2" t="s">
        <v>80</v>
      </c>
      <c r="B5" s="2" t="s">
        <v>83</v>
      </c>
      <c r="C5" s="2" t="s">
        <v>34</v>
      </c>
      <c r="D5" s="2" t="s">
        <v>36</v>
      </c>
      <c r="E5" s="2" t="s">
        <v>68</v>
      </c>
      <c r="F5" s="3">
        <v>45383.0</v>
      </c>
      <c r="G5" s="3">
        <v>45407.0</v>
      </c>
      <c r="H5" s="3">
        <v>45385.0</v>
      </c>
      <c r="I5" s="3">
        <v>45414.0</v>
      </c>
      <c r="J5" s="3">
        <v>45385.0</v>
      </c>
      <c r="K5" s="2"/>
      <c r="L5" s="4">
        <v>0.45</v>
      </c>
      <c r="M5" s="5" t="str">
        <f t="shared" si="1"/>
        <v>Delayed</v>
      </c>
      <c r="N5" s="2">
        <f t="shared" si="2"/>
        <v>7</v>
      </c>
      <c r="O5" s="2" t="s">
        <v>87</v>
      </c>
      <c r="P5" s="2" t="s">
        <v>62</v>
      </c>
      <c r="Q5" s="6">
        <v>90000.0</v>
      </c>
      <c r="R5" s="6">
        <v>95000.0</v>
      </c>
      <c r="S5" s="6">
        <v>98000.0</v>
      </c>
      <c r="T5" s="2">
        <v>2600.0</v>
      </c>
      <c r="U5" s="2">
        <v>2900.0</v>
      </c>
      <c r="V5" s="2">
        <v>310.0</v>
      </c>
      <c r="W5" s="2">
        <v>275.0</v>
      </c>
      <c r="X5" s="2" t="s">
        <v>89</v>
      </c>
      <c r="Y5" s="7">
        <f t="shared" si="3"/>
        <v>0.7953281424</v>
      </c>
    </row>
    <row r="6">
      <c r="A6" s="2" t="s">
        <v>92</v>
      </c>
      <c r="B6" s="2" t="s">
        <v>93</v>
      </c>
      <c r="C6" s="2" t="s">
        <v>34</v>
      </c>
      <c r="D6" s="2" t="s">
        <v>36</v>
      </c>
      <c r="E6" s="2" t="s">
        <v>68</v>
      </c>
      <c r="F6" s="3">
        <v>45392.0</v>
      </c>
      <c r="G6" s="3">
        <v>45412.0</v>
      </c>
      <c r="H6" s="3">
        <v>45392.0</v>
      </c>
      <c r="I6" s="3">
        <v>45417.0</v>
      </c>
      <c r="J6" s="2"/>
      <c r="K6" s="2"/>
      <c r="L6" s="4">
        <v>0.15</v>
      </c>
      <c r="M6" s="5" t="str">
        <f t="shared" si="1"/>
        <v>Delayed</v>
      </c>
      <c r="N6" s="2">
        <f t="shared" si="2"/>
        <v>5</v>
      </c>
      <c r="O6" s="2" t="s">
        <v>98</v>
      </c>
      <c r="P6" s="2" t="s">
        <v>47</v>
      </c>
      <c r="Q6" s="6">
        <v>30000.0</v>
      </c>
      <c r="R6" s="6">
        <v>32500.0</v>
      </c>
      <c r="S6" s="6">
        <v>33000.0</v>
      </c>
      <c r="T6" s="2">
        <v>1500.0</v>
      </c>
      <c r="U6" s="2">
        <v>1400.0</v>
      </c>
      <c r="V6" s="2">
        <v>210.0</v>
      </c>
      <c r="W6" s="2">
        <v>205.0</v>
      </c>
      <c r="X6" s="2" t="s">
        <v>99</v>
      </c>
      <c r="Y6" s="7">
        <f t="shared" si="3"/>
        <v>1.045918367</v>
      </c>
    </row>
    <row r="7">
      <c r="A7" s="2" t="s">
        <v>102</v>
      </c>
      <c r="B7" s="2" t="s">
        <v>103</v>
      </c>
      <c r="C7" s="2" t="s">
        <v>34</v>
      </c>
      <c r="D7" s="2" t="s">
        <v>104</v>
      </c>
      <c r="E7" s="2" t="s">
        <v>31</v>
      </c>
      <c r="F7" s="3">
        <v>45323.0</v>
      </c>
      <c r="G7" s="3">
        <v>45329.0</v>
      </c>
      <c r="H7" s="3">
        <v>45323.0</v>
      </c>
      <c r="I7" s="3">
        <v>45329.0</v>
      </c>
      <c r="J7" s="3">
        <v>45323.0</v>
      </c>
      <c r="K7" s="3">
        <v>45329.0</v>
      </c>
      <c r="L7" s="4">
        <v>1.0</v>
      </c>
      <c r="M7" s="5" t="str">
        <f t="shared" si="1"/>
        <v>Completed</v>
      </c>
      <c r="N7" s="2">
        <f t="shared" si="2"/>
        <v>0</v>
      </c>
      <c r="O7" s="2" t="s">
        <v>44</v>
      </c>
      <c r="P7" s="2" t="s">
        <v>45</v>
      </c>
      <c r="Q7" s="6">
        <v>25000.0</v>
      </c>
      <c r="R7" s="6">
        <v>41200.0</v>
      </c>
      <c r="S7" s="6">
        <v>46000.0</v>
      </c>
      <c r="T7" s="2">
        <v>900.0</v>
      </c>
      <c r="U7" s="2">
        <v>1150.0</v>
      </c>
      <c r="V7" s="2">
        <v>1.0</v>
      </c>
      <c r="W7" s="2">
        <v>1.0</v>
      </c>
      <c r="X7" s="2" t="s">
        <v>108</v>
      </c>
      <c r="Y7" s="7">
        <f t="shared" si="3"/>
        <v>0.7826086957</v>
      </c>
    </row>
    <row r="8">
      <c r="A8" s="2" t="s">
        <v>111</v>
      </c>
      <c r="B8" s="2" t="s">
        <v>114</v>
      </c>
      <c r="C8" s="2" t="s">
        <v>34</v>
      </c>
      <c r="D8" s="2" t="s">
        <v>77</v>
      </c>
      <c r="E8" s="2" t="s">
        <v>68</v>
      </c>
      <c r="F8" s="3">
        <v>45397.0</v>
      </c>
      <c r="G8" s="3">
        <v>45422.0</v>
      </c>
      <c r="H8" s="3">
        <v>45400.0</v>
      </c>
      <c r="I8" s="3">
        <v>45427.0</v>
      </c>
      <c r="J8" s="3">
        <v>45400.0</v>
      </c>
      <c r="K8" s="2"/>
      <c r="L8" s="4">
        <v>0.3</v>
      </c>
      <c r="M8" s="5" t="str">
        <f t="shared" si="1"/>
        <v>Delayed</v>
      </c>
      <c r="N8" s="2">
        <f t="shared" si="2"/>
        <v>5</v>
      </c>
      <c r="O8" s="2" t="s">
        <v>115</v>
      </c>
      <c r="P8" s="2" t="s">
        <v>47</v>
      </c>
      <c r="Q8" s="6">
        <v>140000.0</v>
      </c>
      <c r="R8" s="6">
        <v>45000.0</v>
      </c>
      <c r="S8" s="6">
        <v>145000.0</v>
      </c>
      <c r="T8" s="2">
        <v>2000.0</v>
      </c>
      <c r="U8" s="2">
        <v>650.0</v>
      </c>
      <c r="V8" s="2">
        <v>100.0</v>
      </c>
      <c r="W8" s="2">
        <v>28.0</v>
      </c>
      <c r="X8" s="2" t="s">
        <v>117</v>
      </c>
      <c r="Y8" s="7">
        <f t="shared" si="3"/>
        <v>0.8615384615</v>
      </c>
    </row>
    <row r="9">
      <c r="A9" s="2" t="s">
        <v>119</v>
      </c>
      <c r="B9" s="2" t="s">
        <v>121</v>
      </c>
      <c r="C9" s="2" t="s">
        <v>34</v>
      </c>
      <c r="D9" s="2" t="s">
        <v>122</v>
      </c>
      <c r="E9" s="2" t="s">
        <v>68</v>
      </c>
      <c r="F9" s="3">
        <v>45402.0</v>
      </c>
      <c r="G9" s="3">
        <v>45432.0</v>
      </c>
      <c r="H9" s="3">
        <v>45407.0</v>
      </c>
      <c r="I9" s="3">
        <v>45440.0</v>
      </c>
      <c r="J9" s="2"/>
      <c r="K9" s="2"/>
      <c r="L9" s="4">
        <v>0.1</v>
      </c>
      <c r="M9" s="5" t="str">
        <f t="shared" si="1"/>
        <v>Delayed</v>
      </c>
      <c r="N9" s="2">
        <f t="shared" si="2"/>
        <v>8</v>
      </c>
      <c r="O9" s="2" t="s">
        <v>125</v>
      </c>
      <c r="P9" s="2" t="s">
        <v>62</v>
      </c>
      <c r="Q9" s="6">
        <v>180000.0</v>
      </c>
      <c r="R9" s="6">
        <v>15000.0</v>
      </c>
      <c r="S9" s="6">
        <v>190000.0</v>
      </c>
      <c r="T9" s="2">
        <v>1600.0</v>
      </c>
      <c r="U9" s="2">
        <v>120.0</v>
      </c>
      <c r="V9" s="2">
        <v>60.0</v>
      </c>
      <c r="W9" s="2">
        <v>5.0</v>
      </c>
      <c r="X9" s="2" t="s">
        <v>127</v>
      </c>
      <c r="Y9" s="7">
        <f t="shared" si="3"/>
        <v>1.111111111</v>
      </c>
    </row>
    <row r="10">
      <c r="A10" s="2" t="s">
        <v>128</v>
      </c>
      <c r="B10" s="2" t="s">
        <v>129</v>
      </c>
      <c r="C10" s="2" t="s">
        <v>34</v>
      </c>
      <c r="D10" s="2" t="s">
        <v>130</v>
      </c>
      <c r="E10" s="2" t="s">
        <v>68</v>
      </c>
      <c r="F10" s="3">
        <v>45404.0</v>
      </c>
      <c r="G10" s="3">
        <v>45427.0</v>
      </c>
      <c r="H10" s="3">
        <v>45404.0</v>
      </c>
      <c r="I10" s="3">
        <v>45427.0</v>
      </c>
      <c r="J10" s="2"/>
      <c r="K10" s="2"/>
      <c r="L10" s="4">
        <v>0.0</v>
      </c>
      <c r="M10" s="5" t="str">
        <f t="shared" si="1"/>
        <v>Not Started</v>
      </c>
      <c r="N10" s="2">
        <f t="shared" si="2"/>
        <v>0</v>
      </c>
      <c r="O10" s="2" t="s">
        <v>44</v>
      </c>
      <c r="P10" s="2" t="s">
        <v>45</v>
      </c>
      <c r="Q10" s="6">
        <v>70000.0</v>
      </c>
      <c r="R10" s="6">
        <v>0.0</v>
      </c>
      <c r="S10" s="6">
        <v>70000.0</v>
      </c>
      <c r="T10" s="2">
        <v>800.0</v>
      </c>
      <c r="U10" s="2">
        <v>0.0</v>
      </c>
      <c r="V10" s="2">
        <v>900.0</v>
      </c>
      <c r="W10" s="2">
        <v>0.0</v>
      </c>
      <c r="X10" s="2" t="s">
        <v>132</v>
      </c>
      <c r="Y10" s="7" t="str">
        <f t="shared" si="3"/>
        <v/>
      </c>
    </row>
    <row r="11">
      <c r="A11" s="2" t="s">
        <v>135</v>
      </c>
      <c r="B11" s="2" t="s">
        <v>136</v>
      </c>
      <c r="C11" s="2" t="s">
        <v>34</v>
      </c>
      <c r="D11" s="2" t="s">
        <v>137</v>
      </c>
      <c r="E11" s="2" t="s">
        <v>68</v>
      </c>
      <c r="F11" s="3">
        <v>45323.0</v>
      </c>
      <c r="G11" s="3">
        <v>45412.0</v>
      </c>
      <c r="H11" s="3">
        <v>45323.0</v>
      </c>
      <c r="I11" s="3">
        <v>45412.0</v>
      </c>
      <c r="J11" s="3">
        <v>45323.0</v>
      </c>
      <c r="K11" s="3">
        <v>45412.0</v>
      </c>
      <c r="L11" s="4">
        <v>1.0</v>
      </c>
      <c r="M11" s="5" t="str">
        <f t="shared" si="1"/>
        <v>Completed</v>
      </c>
      <c r="N11" s="2">
        <f t="shared" si="2"/>
        <v>0</v>
      </c>
      <c r="O11" s="2" t="s">
        <v>44</v>
      </c>
      <c r="P11" s="2" t="s">
        <v>45</v>
      </c>
      <c r="Q11" s="6">
        <v>150000.0</v>
      </c>
      <c r="R11" s="6">
        <v>156800.0</v>
      </c>
      <c r="S11" s="6">
        <v>162000.0</v>
      </c>
      <c r="T11" s="2"/>
      <c r="U11" s="2"/>
      <c r="V11" s="2"/>
      <c r="W11" s="2"/>
      <c r="X11" s="2"/>
      <c r="Y11" s="7" t="str">
        <f t="shared" si="3"/>
        <v/>
      </c>
    </row>
    <row r="12">
      <c r="A12" s="2" t="s">
        <v>139</v>
      </c>
      <c r="B12" s="2" t="s">
        <v>140</v>
      </c>
      <c r="C12" s="2" t="s">
        <v>34</v>
      </c>
      <c r="D12" s="2" t="s">
        <v>140</v>
      </c>
      <c r="E12" s="2" t="s">
        <v>68</v>
      </c>
      <c r="F12" s="3">
        <v>45323.0</v>
      </c>
      <c r="G12" s="3">
        <v>45412.0</v>
      </c>
      <c r="H12" s="3">
        <v>45323.0</v>
      </c>
      <c r="I12" s="3">
        <v>45412.0</v>
      </c>
      <c r="J12" s="3">
        <v>45323.0</v>
      </c>
      <c r="K12" s="3">
        <v>45412.0</v>
      </c>
      <c r="L12" s="4">
        <v>1.0</v>
      </c>
      <c r="M12" s="5" t="str">
        <f t="shared" si="1"/>
        <v>Completed</v>
      </c>
      <c r="N12" s="2">
        <f t="shared" si="2"/>
        <v>0</v>
      </c>
      <c r="O12" s="2" t="s">
        <v>44</v>
      </c>
      <c r="P12" s="2" t="s">
        <v>45</v>
      </c>
      <c r="Q12" s="6">
        <v>50000.0</v>
      </c>
      <c r="R12" s="6">
        <v>6300.0</v>
      </c>
      <c r="S12" s="6">
        <v>12000.0</v>
      </c>
      <c r="T12" s="2"/>
      <c r="U12" s="2"/>
      <c r="V12" s="2"/>
      <c r="W12" s="2"/>
      <c r="X12" s="2"/>
      <c r="Y12" s="7" t="str">
        <f t="shared" si="3"/>
        <v/>
      </c>
    </row>
    <row r="13">
      <c r="A13" s="2" t="s">
        <v>144</v>
      </c>
      <c r="B13" s="2" t="s">
        <v>145</v>
      </c>
      <c r="C13" s="2" t="s">
        <v>34</v>
      </c>
      <c r="D13" s="2" t="s">
        <v>36</v>
      </c>
      <c r="E13" s="2" t="s">
        <v>43</v>
      </c>
      <c r="F13" s="3">
        <v>45417.0</v>
      </c>
      <c r="G13" s="3">
        <v>45437.0</v>
      </c>
      <c r="H13" s="3">
        <v>45420.0</v>
      </c>
      <c r="I13" s="3">
        <v>45446.0</v>
      </c>
      <c r="J13" s="3">
        <v>45420.0</v>
      </c>
      <c r="K13" s="2"/>
      <c r="L13" s="4">
        <v>0.4</v>
      </c>
      <c r="M13" s="5" t="str">
        <f t="shared" si="1"/>
        <v>Delayed</v>
      </c>
      <c r="N13" s="2">
        <f t="shared" si="2"/>
        <v>9</v>
      </c>
      <c r="O13" s="2" t="s">
        <v>146</v>
      </c>
      <c r="P13" s="2" t="s">
        <v>47</v>
      </c>
      <c r="Q13" s="6">
        <v>85000.0</v>
      </c>
      <c r="R13" s="6">
        <v>30000.0</v>
      </c>
      <c r="S13" s="6">
        <v>90000.0</v>
      </c>
      <c r="T13" s="2"/>
      <c r="U13" s="2"/>
      <c r="V13" s="2"/>
      <c r="W13" s="2"/>
      <c r="X13" s="2"/>
      <c r="Y13" s="7" t="str">
        <f t="shared" si="3"/>
        <v/>
      </c>
    </row>
    <row r="14">
      <c r="A14" s="2" t="s">
        <v>147</v>
      </c>
      <c r="B14" s="2" t="s">
        <v>148</v>
      </c>
      <c r="C14" s="2" t="s">
        <v>34</v>
      </c>
      <c r="D14" s="2" t="s">
        <v>143</v>
      </c>
      <c r="E14" s="2" t="s">
        <v>43</v>
      </c>
      <c r="F14" s="3">
        <v>45432.0</v>
      </c>
      <c r="G14" s="3">
        <v>45453.0</v>
      </c>
      <c r="H14" s="3">
        <v>45432.0</v>
      </c>
      <c r="I14" s="3">
        <v>45453.0</v>
      </c>
      <c r="J14" s="2"/>
      <c r="K14" s="2"/>
      <c r="L14" s="4">
        <v>0.0</v>
      </c>
      <c r="M14" s="5" t="str">
        <f t="shared" si="1"/>
        <v>Not Started</v>
      </c>
      <c r="N14" s="2">
        <f t="shared" si="2"/>
        <v>0</v>
      </c>
      <c r="O14" s="2" t="s">
        <v>44</v>
      </c>
      <c r="P14" s="2" t="s">
        <v>45</v>
      </c>
      <c r="Q14" s="6">
        <v>55000.0</v>
      </c>
      <c r="R14" s="6">
        <v>0.0</v>
      </c>
      <c r="S14" s="6">
        <v>55000.0</v>
      </c>
      <c r="T14" s="2"/>
      <c r="U14" s="2"/>
      <c r="V14" s="2"/>
      <c r="W14" s="2"/>
      <c r="X14" s="2"/>
      <c r="Y14" s="7" t="str">
        <f t="shared" si="3"/>
        <v/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Y$14"/>
  <conditionalFormatting sqref="M2:M14">
    <cfRule type="expression" dxfId="0" priority="1">
      <formula>M2="Delayed"</formula>
    </cfRule>
  </conditionalFormatting>
  <conditionalFormatting sqref="M2:M14">
    <cfRule type="expression" dxfId="1" priority="2">
      <formula>M2="In Progress"</formula>
    </cfRule>
  </conditionalFormatting>
  <conditionalFormatting sqref="M2:M14">
    <cfRule type="expression" dxfId="2" priority="3">
      <formula>M2="Completed"</formula>
    </cfRule>
  </conditionalFormatting>
  <conditionalFormatting sqref="M2:M14">
    <cfRule type="expression" dxfId="3" priority="4">
      <formula>M2="Not Started"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5.43"/>
    <col customWidth="1" min="3" max="3" width="14.14"/>
    <col customWidth="1" min="4" max="4" width="22.57"/>
    <col customWidth="1" min="5" max="5" width="7.0"/>
    <col customWidth="1" min="6" max="7" width="10.71"/>
    <col customWidth="1" min="8" max="8" width="10.57"/>
    <col customWidth="1" min="9" max="10" width="10.29"/>
    <col customWidth="1" min="11" max="12" width="9.86"/>
    <col customWidth="1" min="13" max="13" width="12.43"/>
    <col customWidth="1" min="14" max="14" width="11.86"/>
    <col customWidth="1" min="15" max="15" width="35.57"/>
    <col customWidth="1" min="16" max="16" width="10.14"/>
    <col customWidth="1" min="17" max="19" width="14.0"/>
    <col customWidth="1" min="20" max="20" width="9.57"/>
    <col customWidth="1" min="21" max="21" width="9.86"/>
    <col customWidth="1" min="22" max="22" width="9.57"/>
    <col customWidth="1" min="23" max="23" width="9.86"/>
    <col customWidth="1" min="24" max="24" width="13.86"/>
    <col customWidth="1" min="25" max="25" width="11.71"/>
    <col customWidth="1" min="26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3">
        <v>45422.0</v>
      </c>
      <c r="G2" s="3">
        <v>45437.0</v>
      </c>
      <c r="H2" s="3">
        <v>45424.0</v>
      </c>
      <c r="I2" s="3">
        <v>45445.0</v>
      </c>
      <c r="J2" s="3">
        <v>45424.0</v>
      </c>
      <c r="K2" s="2"/>
      <c r="L2" s="4">
        <v>0.2</v>
      </c>
      <c r="M2" s="5" t="str">
        <f t="shared" ref="M2:M6" si="1">IF(L2=1,IF(K2&gt;G2,"Delayed","Completed"),IF(L2=0,"Not Started",IF(I2&gt;G2,"Delayed","In Progress")))</f>
        <v>Delayed</v>
      </c>
      <c r="N2" s="2">
        <f t="shared" ref="N2:N6" si="2">I2-G2</f>
        <v>8</v>
      </c>
      <c r="O2" s="2" t="s">
        <v>48</v>
      </c>
      <c r="P2" s="2" t="s">
        <v>47</v>
      </c>
      <c r="Q2" s="6">
        <v>60000.0</v>
      </c>
      <c r="R2" s="6">
        <v>12000.0</v>
      </c>
      <c r="S2" s="6">
        <v>62000.0</v>
      </c>
      <c r="T2" s="2">
        <v>500.0</v>
      </c>
      <c r="U2" s="2">
        <v>100.0</v>
      </c>
      <c r="V2" s="2">
        <v>20.0</v>
      </c>
      <c r="W2" s="2">
        <v>4.0</v>
      </c>
      <c r="X2" s="2" t="s">
        <v>53</v>
      </c>
      <c r="Y2" s="7">
        <f t="shared" ref="Y2:Y6" si="3">IF(OR(T2="",U2=""),"",IFERROR((W2/U2)/(V2/T2),""))</f>
        <v>1</v>
      </c>
    </row>
    <row r="3">
      <c r="A3" s="2" t="s">
        <v>57</v>
      </c>
      <c r="B3" s="2" t="s">
        <v>58</v>
      </c>
      <c r="C3" s="2" t="s">
        <v>41</v>
      </c>
      <c r="D3" s="2" t="s">
        <v>42</v>
      </c>
      <c r="E3" s="2" t="s">
        <v>43</v>
      </c>
      <c r="F3" s="3">
        <v>45432.0</v>
      </c>
      <c r="G3" s="3">
        <v>45448.0</v>
      </c>
      <c r="H3" s="3">
        <v>45432.0</v>
      </c>
      <c r="I3" s="3">
        <v>45448.0</v>
      </c>
      <c r="J3" s="2"/>
      <c r="K3" s="2"/>
      <c r="L3" s="4">
        <v>0.0</v>
      </c>
      <c r="M3" s="5" t="str">
        <f t="shared" si="1"/>
        <v>Not Started</v>
      </c>
      <c r="N3" s="2">
        <f t="shared" si="2"/>
        <v>0</v>
      </c>
      <c r="O3" s="2" t="s">
        <v>44</v>
      </c>
      <c r="P3" s="2" t="s">
        <v>45</v>
      </c>
      <c r="Q3" s="6">
        <v>35000.0</v>
      </c>
      <c r="R3" s="6">
        <v>0.0</v>
      </c>
      <c r="S3" s="6">
        <v>35000.0</v>
      </c>
      <c r="T3" s="2"/>
      <c r="U3" s="2"/>
      <c r="V3" s="2"/>
      <c r="W3" s="2"/>
      <c r="X3" s="2"/>
      <c r="Y3" s="7" t="str">
        <f t="shared" si="3"/>
        <v/>
      </c>
    </row>
    <row r="4">
      <c r="A4" s="2" t="s">
        <v>71</v>
      </c>
      <c r="B4" s="2" t="s">
        <v>72</v>
      </c>
      <c r="C4" s="2" t="s">
        <v>41</v>
      </c>
      <c r="D4" s="2" t="s">
        <v>74</v>
      </c>
      <c r="E4" s="2" t="s">
        <v>43</v>
      </c>
      <c r="F4" s="3">
        <v>45437.0</v>
      </c>
      <c r="G4" s="3">
        <v>45458.0</v>
      </c>
      <c r="H4" s="3">
        <v>45440.0</v>
      </c>
      <c r="I4" s="3">
        <v>45463.0</v>
      </c>
      <c r="J4" s="2"/>
      <c r="K4" s="2"/>
      <c r="L4" s="4">
        <v>0.0</v>
      </c>
      <c r="M4" s="5" t="str">
        <f t="shared" si="1"/>
        <v>Not Started</v>
      </c>
      <c r="N4" s="2">
        <f t="shared" si="2"/>
        <v>5</v>
      </c>
      <c r="O4" s="2" t="s">
        <v>82</v>
      </c>
      <c r="P4" s="2" t="s">
        <v>47</v>
      </c>
      <c r="Q4" s="6">
        <v>45000.0</v>
      </c>
      <c r="R4" s="6">
        <v>0.0</v>
      </c>
      <c r="S4" s="6">
        <v>48000.0</v>
      </c>
      <c r="T4" s="2"/>
      <c r="U4" s="2"/>
      <c r="V4" s="2"/>
      <c r="W4" s="2"/>
      <c r="X4" s="2"/>
      <c r="Y4" s="7" t="str">
        <f t="shared" si="3"/>
        <v/>
      </c>
    </row>
    <row r="5">
      <c r="A5" s="2" t="s">
        <v>85</v>
      </c>
      <c r="B5" s="2" t="s">
        <v>86</v>
      </c>
      <c r="C5" s="2" t="s">
        <v>41</v>
      </c>
      <c r="D5" s="2" t="s">
        <v>74</v>
      </c>
      <c r="E5" s="2" t="s">
        <v>43</v>
      </c>
      <c r="F5" s="3">
        <v>45444.0</v>
      </c>
      <c r="G5" s="3">
        <v>45458.0</v>
      </c>
      <c r="H5" s="3">
        <v>45444.0</v>
      </c>
      <c r="I5" s="3">
        <v>45458.0</v>
      </c>
      <c r="J5" s="2"/>
      <c r="K5" s="2"/>
      <c r="L5" s="4">
        <v>0.0</v>
      </c>
      <c r="M5" s="5" t="str">
        <f t="shared" si="1"/>
        <v>Not Started</v>
      </c>
      <c r="N5" s="2">
        <f t="shared" si="2"/>
        <v>0</v>
      </c>
      <c r="O5" s="2" t="s">
        <v>44</v>
      </c>
      <c r="P5" s="2" t="s">
        <v>45</v>
      </c>
      <c r="Q5" s="6">
        <v>20000.0</v>
      </c>
      <c r="R5" s="6">
        <v>0.0</v>
      </c>
      <c r="S5" s="6">
        <v>20000.0</v>
      </c>
      <c r="T5" s="2"/>
      <c r="U5" s="2"/>
      <c r="V5" s="2"/>
      <c r="W5" s="2"/>
      <c r="X5" s="2"/>
      <c r="Y5" s="7" t="str">
        <f t="shared" si="3"/>
        <v/>
      </c>
    </row>
    <row r="6">
      <c r="A6" s="2" t="s">
        <v>95</v>
      </c>
      <c r="B6" s="2" t="s">
        <v>97</v>
      </c>
      <c r="C6" s="2" t="s">
        <v>41</v>
      </c>
      <c r="D6" s="2" t="s">
        <v>74</v>
      </c>
      <c r="E6" s="2" t="s">
        <v>43</v>
      </c>
      <c r="F6" s="3">
        <v>45459.0</v>
      </c>
      <c r="G6" s="3">
        <v>45463.0</v>
      </c>
      <c r="H6" s="3">
        <v>45459.0</v>
      </c>
      <c r="I6" s="3">
        <v>45463.0</v>
      </c>
      <c r="J6" s="2"/>
      <c r="K6" s="2"/>
      <c r="L6" s="4">
        <v>0.0</v>
      </c>
      <c r="M6" s="5" t="str">
        <f t="shared" si="1"/>
        <v>Not Started</v>
      </c>
      <c r="N6" s="2">
        <f t="shared" si="2"/>
        <v>0</v>
      </c>
      <c r="O6" s="2" t="s">
        <v>44</v>
      </c>
      <c r="P6" s="2" t="s">
        <v>45</v>
      </c>
      <c r="Q6" s="6">
        <v>15000.0</v>
      </c>
      <c r="R6" s="6">
        <v>0.0</v>
      </c>
      <c r="S6" s="6">
        <v>15000.0</v>
      </c>
      <c r="T6" s="2"/>
      <c r="U6" s="2"/>
      <c r="V6" s="2"/>
      <c r="W6" s="2"/>
      <c r="X6" s="2"/>
      <c r="Y6" s="7" t="str">
        <f t="shared" si="3"/>
        <v/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Y$6"/>
  <conditionalFormatting sqref="M2:M6">
    <cfRule type="expression" dxfId="0" priority="1">
      <formula>M2="Delayed"</formula>
    </cfRule>
  </conditionalFormatting>
  <conditionalFormatting sqref="M2:M6">
    <cfRule type="expression" dxfId="1" priority="2">
      <formula>M2="In Progress"</formula>
    </cfRule>
  </conditionalFormatting>
  <conditionalFormatting sqref="M2:M6">
    <cfRule type="expression" dxfId="2" priority="3">
      <formula>M2="Completed"</formula>
    </cfRule>
  </conditionalFormatting>
  <conditionalFormatting sqref="M2:M6">
    <cfRule type="expression" dxfId="3" priority="4">
      <formula>M2="Not Started"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34.0"/>
    <col customWidth="1" min="3" max="3" width="13.0"/>
    <col customWidth="1" min="4" max="4" width="12.0"/>
    <col customWidth="1" min="5" max="5" width="14.0"/>
    <col customWidth="1" min="6" max="6" width="34.0"/>
    <col customWidth="1" min="7" max="7" width="10.0"/>
    <col customWidth="1" min="8" max="26" width="8.71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15</v>
      </c>
    </row>
    <row r="2">
      <c r="A2" s="2" t="str">
        <f>'Activities - Engineering'!A3</f>
        <v>ENG-02</v>
      </c>
      <c r="B2" s="2" t="str">
        <f>'Activities - Engineering'!B3</f>
        <v>Architectural Drawings - IFC</v>
      </c>
      <c r="C2" s="2" t="str">
        <f>'Activities - Engineering'!C3</f>
        <v>Engineering</v>
      </c>
      <c r="D2" s="2" t="str">
        <f>'Activities - Engineering'!M3</f>
        <v>Delayed</v>
      </c>
      <c r="E2" s="2">
        <f>'Activities - Engineering'!N3</f>
        <v>6</v>
      </c>
      <c r="F2" s="2" t="str">
        <f>'Activities - Engineering'!O3</f>
        <v>Client review delays</v>
      </c>
      <c r="G2" s="2" t="str">
        <f>'Activities - Engineering'!P3</f>
        <v>Low</v>
      </c>
    </row>
    <row r="3">
      <c r="A3" s="2" t="str">
        <f>'Activities - Engineering'!A4</f>
        <v>ENG-03</v>
      </c>
      <c r="B3" s="2" t="str">
        <f>'Activities - Engineering'!B4</f>
        <v>Structural Design &amp; Calculations</v>
      </c>
      <c r="C3" s="2" t="str">
        <f>'Activities - Engineering'!C4</f>
        <v>Engineering</v>
      </c>
      <c r="D3" s="2" t="str">
        <f>'Activities - Engineering'!M4</f>
        <v>Delayed</v>
      </c>
      <c r="E3" s="2">
        <f>'Activities - Engineering'!N4</f>
        <v>3</v>
      </c>
      <c r="F3" s="2" t="str">
        <f>'Activities - Engineering'!O4</f>
        <v>Late input from geotech report</v>
      </c>
      <c r="G3" s="2" t="str">
        <f>'Activities - Engineering'!P4</f>
        <v>Medium</v>
      </c>
    </row>
    <row r="4">
      <c r="A4" s="2" t="str">
        <f>'Activities - Engineering'!A5</f>
        <v>ENG-04</v>
      </c>
      <c r="B4" s="2" t="str">
        <f>'Activities - Engineering'!B5</f>
        <v>MEP Coordination Drawings</v>
      </c>
      <c r="C4" s="2" t="str">
        <f>'Activities - Engineering'!C5</f>
        <v>Engineering</v>
      </c>
      <c r="D4" s="2" t="str">
        <f>'Activities - Engineering'!M5</f>
        <v>Delayed</v>
      </c>
      <c r="E4" s="2">
        <f>'Activities - Engineering'!N5</f>
        <v>5</v>
      </c>
      <c r="F4" s="2" t="str">
        <f>'Activities - Engineering'!O5</f>
        <v>Design clashes requiring rework</v>
      </c>
      <c r="G4" s="2" t="str">
        <f>'Activities - Engineering'!P5</f>
        <v>Medium</v>
      </c>
    </row>
    <row r="5">
      <c r="A5" s="2" t="str">
        <f>'Activities - Engineering'!A7</f>
        <v>ENG-06</v>
      </c>
      <c r="B5" s="2" t="str">
        <f>'Activities - Engineering'!B7</f>
        <v>Fire &amp; Life Safety Design</v>
      </c>
      <c r="C5" s="2" t="str">
        <f>'Activities - Engineering'!C7</f>
        <v>Engineering</v>
      </c>
      <c r="D5" s="2" t="str">
        <f>'Activities - Engineering'!M7</f>
        <v>Delayed</v>
      </c>
      <c r="E5" s="2">
        <f>'Activities - Engineering'!N7</f>
        <v>4</v>
      </c>
      <c r="F5" s="2" t="str">
        <f>'Activities - Engineering'!O7</f>
        <v>Code compliance revisions</v>
      </c>
      <c r="G5" s="2" t="str">
        <f>'Activities - Engineering'!P7</f>
        <v>Low</v>
      </c>
    </row>
    <row r="6">
      <c r="A6" s="2" t="str">
        <f>'Activities - Engineering'!A9</f>
        <v>ENG-08</v>
      </c>
      <c r="B6" s="2" t="str">
        <f>'Activities - Engineering'!B9</f>
        <v>BIM Coordination Model - Final</v>
      </c>
      <c r="C6" s="2" t="str">
        <f>'Activities - Engineering'!C9</f>
        <v>Engineering</v>
      </c>
      <c r="D6" s="2" t="str">
        <f>'Activities - Engineering'!M9</f>
        <v>Delayed</v>
      </c>
      <c r="E6" s="2">
        <f>'Activities - Engineering'!N9</f>
        <v>5</v>
      </c>
      <c r="F6" s="2" t="str">
        <f>'Activities - Engineering'!O9</f>
        <v>Additional clash detection rounds</v>
      </c>
      <c r="G6" s="2" t="str">
        <f>'Activities - Engineering'!P9</f>
        <v>Low</v>
      </c>
    </row>
    <row r="7">
      <c r="A7" s="2" t="str">
        <f>'Activities - Procurement'!A3</f>
        <v>PRC-02</v>
      </c>
      <c r="B7" s="2" t="str">
        <f>'Activities - Procurement'!B3</f>
        <v>Ready-Mix Concrete Supplier Contract</v>
      </c>
      <c r="C7" s="2" t="str">
        <f>'Activities - Procurement'!C3</f>
        <v>Procurement</v>
      </c>
      <c r="D7" s="2" t="str">
        <f>'Activities - Procurement'!M3</f>
        <v>Delayed</v>
      </c>
      <c r="E7" s="2">
        <f>'Activities - Procurement'!N3</f>
        <v>6</v>
      </c>
      <c r="F7" s="2" t="str">
        <f>'Activities - Procurement'!O3</f>
        <v>Supplier price renegotiation</v>
      </c>
      <c r="G7" s="2" t="str">
        <f>'Activities - Procurement'!P3</f>
        <v>Medium</v>
      </c>
    </row>
    <row r="8">
      <c r="A8" s="2" t="str">
        <f>'Activities - Procurement'!A4</f>
        <v>PRC-03</v>
      </c>
      <c r="B8" s="2" t="str">
        <f>'Activities - Procurement'!B4</f>
        <v>Structural Steel Procurement</v>
      </c>
      <c r="C8" s="2" t="str">
        <f>'Activities - Procurement'!C4</f>
        <v>Procurement</v>
      </c>
      <c r="D8" s="2" t="str">
        <f>'Activities - Procurement'!M4</f>
        <v>Delayed</v>
      </c>
      <c r="E8" s="2">
        <f>'Activities - Procurement'!N4</f>
        <v>10</v>
      </c>
      <c r="F8" s="2" t="str">
        <f>'Activities - Procurement'!O4</f>
        <v>Mill lead-time longer than quoted</v>
      </c>
      <c r="G8" s="2" t="str">
        <f>'Activities - Procurement'!P4</f>
        <v>High</v>
      </c>
    </row>
    <row r="9">
      <c r="A9" s="2" t="str">
        <f>'Activities - Procurement'!A5</f>
        <v>PRC-04</v>
      </c>
      <c r="B9" s="2" t="str">
        <f>'Activities - Procurement'!B5</f>
        <v>MEP Equipment Long-Lead Items</v>
      </c>
      <c r="C9" s="2" t="str">
        <f>'Activities - Procurement'!C5</f>
        <v>Procurement</v>
      </c>
      <c r="D9" s="2" t="str">
        <f>'Activities - Procurement'!M5</f>
        <v>Delayed</v>
      </c>
      <c r="E9" s="2">
        <f>'Activities - Procurement'!N5</f>
        <v>32</v>
      </c>
      <c r="F9" s="2" t="str">
        <f>'Activities - Procurement'!O5</f>
        <v>Chiller delivery delayed by manufacturer</v>
      </c>
      <c r="G9" s="2" t="str">
        <f>'Activities - Procurement'!P5</f>
        <v>High</v>
      </c>
    </row>
    <row r="10" ht="15.75" customHeight="1">
      <c r="A10" s="2" t="str">
        <f>'Activities - Procurement'!A6</f>
        <v>PRC-05</v>
      </c>
      <c r="B10" s="2" t="str">
        <f>'Activities - Procurement'!B6</f>
        <v>Elevator &amp; Lift Package</v>
      </c>
      <c r="C10" s="2" t="str">
        <f>'Activities - Procurement'!C6</f>
        <v>Procurement</v>
      </c>
      <c r="D10" s="2" t="str">
        <f>'Activities - Procurement'!M6</f>
        <v>Delayed</v>
      </c>
      <c r="E10" s="2">
        <f>'Activities - Procurement'!N6</f>
        <v>10</v>
      </c>
      <c r="F10" s="2" t="str">
        <f>'Activities - Procurement'!O6</f>
        <v>OEM factory backlog</v>
      </c>
      <c r="G10" s="2" t="str">
        <f>'Activities - Procurement'!P6</f>
        <v>Medium</v>
      </c>
    </row>
    <row r="11" ht="15.75" customHeight="1">
      <c r="A11" s="2" t="str">
        <f>'Activities - Procurement'!A7</f>
        <v>PRC-06</v>
      </c>
      <c r="B11" s="2" t="str">
        <f>'Activities - Procurement'!B7</f>
        <v>Facade &amp; Glazing Package</v>
      </c>
      <c r="C11" s="2" t="str">
        <f>'Activities - Procurement'!C7</f>
        <v>Procurement</v>
      </c>
      <c r="D11" s="2" t="str">
        <f>'Activities - Procurement'!M7</f>
        <v>Delayed</v>
      </c>
      <c r="E11" s="2">
        <f>'Activities - Procurement'!N7</f>
        <v>15</v>
      </c>
      <c r="F11" s="2" t="str">
        <f>'Activities - Procurement'!O7</f>
        <v>Custom glass unit lead time</v>
      </c>
      <c r="G11" s="2" t="str">
        <f>'Activities - Procurement'!P7</f>
        <v>High</v>
      </c>
    </row>
    <row r="12" ht="15.75" customHeight="1">
      <c r="A12" s="2" t="str">
        <f>'Activities - Procurement'!A8</f>
        <v>PRC-07</v>
      </c>
      <c r="B12" s="2" t="str">
        <f>'Activities - Procurement'!B8</f>
        <v>Interior Finishes Materials Package</v>
      </c>
      <c r="C12" s="2" t="str">
        <f>'Activities - Procurement'!C8</f>
        <v>Procurement</v>
      </c>
      <c r="D12" s="2" t="str">
        <f>'Activities - Procurement'!M8</f>
        <v>Delayed</v>
      </c>
      <c r="E12" s="2">
        <f>'Activities - Procurement'!N8</f>
        <v>7</v>
      </c>
      <c r="F12" s="2" t="str">
        <f>'Activities - Procurement'!O8</f>
        <v>Tile supplier backorder</v>
      </c>
      <c r="G12" s="2" t="str">
        <f>'Activities - Procurement'!P8</f>
        <v>Medium</v>
      </c>
    </row>
    <row r="13" ht="15.75" customHeight="1">
      <c r="A13" s="2" t="str">
        <f>'Activities - Procurement'!A9</f>
        <v>PRC-08</v>
      </c>
      <c r="B13" s="2" t="str">
        <f>'Activities - Procurement'!B9</f>
        <v>Landscaping Materials &amp; Plants</v>
      </c>
      <c r="C13" s="2" t="str">
        <f>'Activities - Procurement'!C9</f>
        <v>Procurement</v>
      </c>
      <c r="D13" s="2" t="str">
        <f>'Activities - Procurement'!M9</f>
        <v>Not Started</v>
      </c>
      <c r="E13" s="2">
        <f>'Activities - Procurement'!N9</f>
        <v>0</v>
      </c>
      <c r="F13" s="2" t="str">
        <f>'Activities - Procurement'!O9</f>
        <v>-</v>
      </c>
      <c r="G13" s="2" t="str">
        <f>'Activities - Procurement'!P9</f>
        <v>None</v>
      </c>
    </row>
    <row r="14" ht="15.75" customHeight="1">
      <c r="A14" s="2" t="str">
        <f>'Activities - Construction'!A2</f>
        <v>CON-01</v>
      </c>
      <c r="B14" s="2" t="str">
        <f>'Activities - Construction'!B2</f>
        <v>Excavation &amp; Shoring</v>
      </c>
      <c r="C14" s="2" t="str">
        <f>'Activities - Construction'!C2</f>
        <v>Construction</v>
      </c>
      <c r="D14" s="2" t="str">
        <f>'Activities - Construction'!M2</f>
        <v>Delayed</v>
      </c>
      <c r="E14" s="2">
        <f>'Activities - Construction'!N2</f>
        <v>5</v>
      </c>
      <c r="F14" s="2" t="str">
        <f>'Activities - Construction'!O2</f>
        <v>Groundwater management</v>
      </c>
      <c r="G14" s="2" t="str">
        <f>'Activities - Construction'!P2</f>
        <v>Medium</v>
      </c>
    </row>
    <row r="15" ht="15.75" customHeight="1">
      <c r="A15" s="2" t="str">
        <f>'Activities - Construction'!A3</f>
        <v>CON-02</v>
      </c>
      <c r="B15" s="2" t="str">
        <f>'Activities - Construction'!B3</f>
        <v>Foundation &amp; Raft Slab Pour</v>
      </c>
      <c r="C15" s="2" t="str">
        <f>'Activities - Construction'!C3</f>
        <v>Construction</v>
      </c>
      <c r="D15" s="2" t="str">
        <f>'Activities - Construction'!M3</f>
        <v>Delayed</v>
      </c>
      <c r="E15" s="2">
        <f>'Activities - Construction'!N3</f>
        <v>8</v>
      </c>
      <c r="F15" s="2" t="str">
        <f>'Activities - Construction'!O3</f>
        <v>Rebar procurement delay upstream</v>
      </c>
      <c r="G15" s="2" t="str">
        <f>'Activities - Construction'!P3</f>
        <v>High</v>
      </c>
    </row>
    <row r="16" ht="15.75" customHeight="1">
      <c r="A16" s="2" t="str">
        <f>'Activities - Construction'!A4</f>
        <v>CON-03</v>
      </c>
      <c r="B16" s="2" t="str">
        <f>'Activities - Construction'!B4</f>
        <v>Substructure Waterproofing</v>
      </c>
      <c r="C16" s="2" t="str">
        <f>'Activities - Construction'!C4</f>
        <v>Construction</v>
      </c>
      <c r="D16" s="2" t="str">
        <f>'Activities - Construction'!M4</f>
        <v>Delayed</v>
      </c>
      <c r="E16" s="2">
        <f>'Activities - Construction'!N4</f>
        <v>23</v>
      </c>
      <c r="F16" s="2" t="str">
        <f>'Activities - Construction'!O4</f>
        <v>Follows foundation pour completion</v>
      </c>
      <c r="G16" s="2" t="str">
        <f>'Activities - Construction'!P4</f>
        <v>Medium</v>
      </c>
    </row>
    <row r="17" ht="15.75" customHeight="1">
      <c r="A17" s="2" t="str">
        <f>'Activities - Construction'!A5</f>
        <v>CON-04</v>
      </c>
      <c r="B17" s="2" t="str">
        <f>'Activities - Construction'!B5</f>
        <v>Superstructure - Ground to L3 Columns</v>
      </c>
      <c r="C17" s="2" t="str">
        <f>'Activities - Construction'!C5</f>
        <v>Construction</v>
      </c>
      <c r="D17" s="2" t="str">
        <f>'Activities - Construction'!M5</f>
        <v>Delayed</v>
      </c>
      <c r="E17" s="2">
        <f>'Activities - Construction'!N5</f>
        <v>7</v>
      </c>
      <c r="F17" s="2" t="str">
        <f>'Activities - Construction'!O5</f>
        <v>Concrete supplier renegotiation impact</v>
      </c>
      <c r="G17" s="2" t="str">
        <f>'Activities - Construction'!P5</f>
        <v>High</v>
      </c>
    </row>
    <row r="18" ht="15.75" customHeight="1">
      <c r="A18" s="2" t="str">
        <f>'Activities - Construction'!A6</f>
        <v>CON-05</v>
      </c>
      <c r="B18" s="2" t="str">
        <f>'Activities - Construction'!B6</f>
        <v>Superstructure - Slab L1</v>
      </c>
      <c r="C18" s="2" t="str">
        <f>'Activities - Construction'!C6</f>
        <v>Construction</v>
      </c>
      <c r="D18" s="2" t="str">
        <f>'Activities - Construction'!M6</f>
        <v>Delayed</v>
      </c>
      <c r="E18" s="2">
        <f>'Activities - Construction'!N6</f>
        <v>5</v>
      </c>
      <c r="F18" s="2" t="str">
        <f>'Activities - Construction'!O6</f>
        <v>Sequenced after column pours</v>
      </c>
      <c r="G18" s="2" t="str">
        <f>'Activities - Construction'!P6</f>
        <v>Medium</v>
      </c>
    </row>
    <row r="19" ht="15.75" customHeight="1">
      <c r="A19" s="2" t="str">
        <f>'Activities - Construction'!A8</f>
        <v>CON-07</v>
      </c>
      <c r="B19" s="2" t="str">
        <f>'Activities - Construction'!B8</f>
        <v>MEP First Fix - L1-L3</v>
      </c>
      <c r="C19" s="2" t="str">
        <f>'Activities - Construction'!C8</f>
        <v>Construction</v>
      </c>
      <c r="D19" s="2" t="str">
        <f>'Activities - Construction'!M8</f>
        <v>Delayed</v>
      </c>
      <c r="E19" s="2">
        <f>'Activities - Construction'!N8</f>
        <v>5</v>
      </c>
      <c r="F19" s="2" t="str">
        <f>'Activities - Construction'!O8</f>
        <v>Sequenced after superstructure</v>
      </c>
      <c r="G19" s="2" t="str">
        <f>'Activities - Construction'!P8</f>
        <v>Medium</v>
      </c>
    </row>
    <row r="20" ht="15.75" customHeight="1">
      <c r="A20" s="2" t="str">
        <f>'Activities - Construction'!A9</f>
        <v>CON-08</v>
      </c>
      <c r="B20" s="2" t="str">
        <f>'Activities - Construction'!B9</f>
        <v>External Facade Installation - Phase 1</v>
      </c>
      <c r="C20" s="2" t="str">
        <f>'Activities - Construction'!C9</f>
        <v>Construction</v>
      </c>
      <c r="D20" s="2" t="str">
        <f>'Activities - Construction'!M9</f>
        <v>Delayed</v>
      </c>
      <c r="E20" s="2">
        <f>'Activities - Construction'!N9</f>
        <v>8</v>
      </c>
      <c r="F20" s="2" t="str">
        <f>'Activities - Construction'!O9</f>
        <v>Awaiting glazing package delivery</v>
      </c>
      <c r="G20" s="2" t="str">
        <f>'Activities - Construction'!P9</f>
        <v>High</v>
      </c>
    </row>
    <row r="21" ht="15.75" customHeight="1">
      <c r="A21" s="2" t="str">
        <f>'Activities - Construction'!A10</f>
        <v>CON-09</v>
      </c>
      <c r="B21" s="2" t="str">
        <f>'Activities - Construction'!B10</f>
        <v>Internal Partitions - L1</v>
      </c>
      <c r="C21" s="2" t="str">
        <f>'Activities - Construction'!C10</f>
        <v>Construction</v>
      </c>
      <c r="D21" s="2" t="str">
        <f>'Activities - Construction'!M10</f>
        <v>Not Started</v>
      </c>
      <c r="E21" s="2">
        <f>'Activities - Construction'!N10</f>
        <v>0</v>
      </c>
      <c r="F21" s="2" t="str">
        <f>'Activities - Construction'!O10</f>
        <v>-</v>
      </c>
      <c r="G21" s="2" t="str">
        <f>'Activities - Construction'!P10</f>
        <v>None</v>
      </c>
    </row>
    <row r="22" ht="15.75" customHeight="1">
      <c r="A22" s="2" t="str">
        <f>'Activities - Construction'!A13</f>
        <v>CON-10</v>
      </c>
      <c r="B22" s="2" t="str">
        <f>'Activities - Construction'!B13</f>
        <v>Roofing &amp; Waterproofing - Roof Level</v>
      </c>
      <c r="C22" s="2" t="str">
        <f>'Activities - Construction'!C13</f>
        <v>Construction</v>
      </c>
      <c r="D22" s="2" t="str">
        <f>'Activities - Construction'!M13</f>
        <v>Delayed</v>
      </c>
      <c r="E22" s="2">
        <f>'Activities - Construction'!N13</f>
        <v>9</v>
      </c>
      <c r="F22" s="2" t="str">
        <f>'Activities - Construction'!O13</f>
        <v>Sequenced after superstructure topping out</v>
      </c>
      <c r="G22" s="2" t="str">
        <f>'Activities - Construction'!P13</f>
        <v>Medium</v>
      </c>
    </row>
    <row r="23" ht="15.75" customHeight="1">
      <c r="A23" s="2" t="str">
        <f>'Activities - Construction'!A14</f>
        <v>CON-11</v>
      </c>
      <c r="B23" s="2" t="str">
        <f>'Activities - Construction'!B14</f>
        <v>External Hardscape &amp; Paving</v>
      </c>
      <c r="C23" s="2" t="str">
        <f>'Activities - Construction'!C14</f>
        <v>Construction</v>
      </c>
      <c r="D23" s="2" t="str">
        <f>'Activities - Construction'!M14</f>
        <v>Not Started</v>
      </c>
      <c r="E23" s="2">
        <f>'Activities - Construction'!N14</f>
        <v>0</v>
      </c>
      <c r="F23" s="2" t="str">
        <f>'Activities - Construction'!O14</f>
        <v>-</v>
      </c>
      <c r="G23" s="2" t="str">
        <f>'Activities - Construction'!P14</f>
        <v>None</v>
      </c>
    </row>
    <row r="24" ht="15.75" customHeight="1">
      <c r="A24" s="2" t="str">
        <f>'Activities - Commissioning'!A2</f>
        <v>COM-01</v>
      </c>
      <c r="B24" s="2" t="str">
        <f>'Activities - Commissioning'!B2</f>
        <v>MEP Systems Testing &amp; Balancing</v>
      </c>
      <c r="C24" s="2" t="str">
        <f>'Activities - Commissioning'!C2</f>
        <v>Commissioning</v>
      </c>
      <c r="D24" s="2" t="str">
        <f>'Activities - Commissioning'!M2</f>
        <v>Delayed</v>
      </c>
      <c r="E24" s="2">
        <f>'Activities - Commissioning'!N2</f>
        <v>8</v>
      </c>
      <c r="F24" s="2" t="str">
        <f>'Activities - Commissioning'!O2</f>
        <v>Sequenced after MEP first fix completion</v>
      </c>
      <c r="G24" s="2" t="str">
        <f>'Activities - Commissioning'!P2</f>
        <v>Medium</v>
      </c>
    </row>
    <row r="25" ht="15.75" customHeight="1">
      <c r="A25" s="2" t="str">
        <f>'Activities - Commissioning'!A3</f>
        <v>COM-02</v>
      </c>
      <c r="B25" s="2" t="str">
        <f>'Activities - Commissioning'!B3</f>
        <v>Fire Alarm &amp; Life Safety Commissioning</v>
      </c>
      <c r="C25" s="2" t="str">
        <f>'Activities - Commissioning'!C3</f>
        <v>Commissioning</v>
      </c>
      <c r="D25" s="2" t="str">
        <f>'Activities - Commissioning'!M3</f>
        <v>Not Started</v>
      </c>
      <c r="E25" s="2">
        <f>'Activities - Commissioning'!N3</f>
        <v>0</v>
      </c>
      <c r="F25" s="2" t="str">
        <f>'Activities - Commissioning'!O3</f>
        <v>-</v>
      </c>
      <c r="G25" s="2" t="str">
        <f>'Activities - Commissioning'!P3</f>
        <v>None</v>
      </c>
    </row>
    <row r="26" ht="15.75" customHeight="1">
      <c r="A26" s="2" t="str">
        <f>'Activities - Commissioning'!A4</f>
        <v>COM-03</v>
      </c>
      <c r="B26" s="2" t="str">
        <f>'Activities - Commissioning'!B4</f>
        <v>Snagging &amp; Defects Rectification</v>
      </c>
      <c r="C26" s="2" t="str">
        <f>'Activities - Commissioning'!C4</f>
        <v>Commissioning</v>
      </c>
      <c r="D26" s="2" t="str">
        <f>'Activities - Commissioning'!M4</f>
        <v>Not Started</v>
      </c>
      <c r="E26" s="2">
        <f>'Activities - Commissioning'!N4</f>
        <v>5</v>
      </c>
      <c r="F26" s="2" t="str">
        <f>'Activities - Commissioning'!O4</f>
        <v>Follows facade and fit-out completion</v>
      </c>
      <c r="G26" s="2" t="str">
        <f>'Activities - Commissioning'!P4</f>
        <v>Medium</v>
      </c>
    </row>
    <row r="27" ht="15.75" customHeight="1">
      <c r="A27" s="2" t="str">
        <f>'Activities - Commissioning'!A5</f>
        <v>COM-04</v>
      </c>
      <c r="B27" s="2" t="str">
        <f>'Activities - Commissioning'!B5</f>
        <v>As-Built Documentation &amp; O&amp;M Manuals</v>
      </c>
      <c r="C27" s="2" t="str">
        <f>'Activities - Commissioning'!C5</f>
        <v>Commissioning</v>
      </c>
      <c r="D27" s="2" t="str">
        <f>'Activities - Commissioning'!M5</f>
        <v>Not Started</v>
      </c>
      <c r="E27" s="2">
        <f>'Activities - Commissioning'!N5</f>
        <v>0</v>
      </c>
      <c r="F27" s="2" t="str">
        <f>'Activities - Commissioning'!O5</f>
        <v>-</v>
      </c>
      <c r="G27" s="2" t="str">
        <f>'Activities - Commissioning'!P5</f>
        <v>None</v>
      </c>
    </row>
    <row r="28" ht="15.75" customHeight="1">
      <c r="A28" s="2" t="str">
        <f>'Activities - Commissioning'!A6</f>
        <v>COM-05</v>
      </c>
      <c r="B28" s="2" t="str">
        <f>'Activities - Commissioning'!B6</f>
        <v>Client Handover &amp; Training</v>
      </c>
      <c r="C28" s="2" t="str">
        <f>'Activities - Commissioning'!C6</f>
        <v>Commissioning</v>
      </c>
      <c r="D28" s="2" t="str">
        <f>'Activities - Commissioning'!M6</f>
        <v>Not Started</v>
      </c>
      <c r="E28" s="2">
        <f>'Activities - Commissioning'!N6</f>
        <v>0</v>
      </c>
      <c r="F28" s="2" t="str">
        <f>'Activities - Commissioning'!O6</f>
        <v>-</v>
      </c>
      <c r="G28" s="2" t="str">
        <f>'Activities - Commissioning'!P6</f>
        <v>None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D2:D28">
    <cfRule type="expression" dxfId="0" priority="1">
      <formula>D2="Delayed"</formula>
    </cfRule>
  </conditionalFormatting>
  <conditionalFormatting sqref="D2:D28">
    <cfRule type="expression" dxfId="1" priority="2">
      <formula>D2="In Progress"</formula>
    </cfRule>
  </conditionalFormatting>
  <conditionalFormatting sqref="D2:D28">
    <cfRule type="expression" dxfId="3" priority="3">
      <formula>D2="Not Started"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6" width="13.0"/>
    <col customWidth="1" min="7" max="7" width="20.0"/>
    <col customWidth="1" min="8" max="8" width="12.0"/>
    <col customWidth="1" min="9" max="26" width="8.71"/>
  </cols>
  <sheetData>
    <row r="1">
      <c r="A1" s="1" t="s">
        <v>3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</row>
    <row r="2">
      <c r="A2" s="2" t="s">
        <v>36</v>
      </c>
      <c r="B2" s="8">
        <f>SUMIFS('Activities - Engineering'!R2:R9,'Activities - Engineering'!D2:D9,A2,'Activities - Engineering'!E2:E9,"P1")+SUMIFS('Activities - Procurement'!R2:R9,'Activities - Procurement'!D2:D9,A2,'Activities - Procurement'!E2:E9,"P1")+SUMIFS('Activities - Construction'!R2:R14,'Activities - Construction'!D2:D14,A2,'Activities - Construction'!E2:E14,"P1")+SUMIFS('Activities - Commissioning'!R2:R6,'Activities - Commissioning'!D2:D6,A2,'Activities - Commissioning'!E2:E6,"P1")</f>
        <v>0</v>
      </c>
      <c r="C2" s="8">
        <f>SUMIFS('Activities - Engineering'!R2:R9,'Activities - Engineering'!D2:D9,A2,'Activities - Engineering'!E2:E9,"P2")+SUMIFS('Activities - Procurement'!R2:R9,'Activities - Procurement'!D2:D9,A2,'Activities - Procurement'!E2:E9,"P2")+SUMIFS('Activities - Construction'!R2:R14,'Activities - Construction'!D2:D14,A2,'Activities - Construction'!E2:E14,"P2")+SUMIFS('Activities - Commissioning'!R2:R6,'Activities - Commissioning'!D2:D6,A2,'Activities - Commissioning'!E2:E6,"P2")</f>
        <v>213000</v>
      </c>
      <c r="D2" s="8">
        <f>SUMIFS('Activities - Engineering'!R2:R9,'Activities - Engineering'!D2:D9,A2,'Activities - Engineering'!E2:E9,"P3")+SUMIFS('Activities - Procurement'!R2:R9,'Activities - Procurement'!D2:D9,A2,'Activities - Procurement'!E2:E9,"P3")+SUMIFS('Activities - Construction'!R2:R14,'Activities - Construction'!D2:D14,A2,'Activities - Construction'!E2:E14,"P3")+SUMIFS('Activities - Commissioning'!R2:R6,'Activities - Commissioning'!D2:D6,A2,'Activities - Commissioning'!E2:E6,"P3")</f>
        <v>189500</v>
      </c>
      <c r="E2" s="8">
        <f>SUMIFS('Activities - Engineering'!R2:R9,'Activities - Engineering'!D2:D9,A2,'Activities - Engineering'!E2:E9,"P4")+SUMIFS('Activities - Procurement'!R2:R9,'Activities - Procurement'!D2:D9,A2,'Activities - Procurement'!E2:E9,"P4")+SUMIFS('Activities - Construction'!R2:R14,'Activities - Construction'!D2:D14,A2,'Activities - Construction'!E2:E14,"P4")+SUMIFS('Activities - Commissioning'!R2:R6,'Activities - Commissioning'!D2:D6,A2,'Activities - Commissioning'!E2:E6,"P4")</f>
        <v>30000</v>
      </c>
      <c r="F2" s="8">
        <f>SUMIF('Activities - Engineering'!D2:D9,A2,'Activities - Engineering'!S2:S9)+SUMIF('Activities - Procurement'!D2:D9,A2,'Activities - Procurement'!S2:S9)+SUMIF('Activities - Construction'!D2:D14,A2,'Activities - Construction'!S2:S14)+SUMIF('Activities - Commissioning'!D2:D6,A2,'Activities - Commissioning'!S2:S6)</f>
        <v>505000</v>
      </c>
      <c r="G2" s="10">
        <f>F2-(SUMIF('Activities - Engineering'!D2:D9,A2,'Activities - Engineering'!Q2:Q9)+SUMIF('Activities - Procurement'!D2:D9,A2,'Activities - Procurement'!Q2:Q9)+SUMIF('Activities - Construction'!D2:D14,A2,'Activities - Construction'!Q2:Q14)+SUMIF('Activities - Commissioning'!D2:D6,A2,'Activities - Commissioning'!Q2:Q6))</f>
        <v>40000</v>
      </c>
      <c r="H2" s="4">
        <f>IFERROR(F2/(SUMIF('Activities - Engineering'!D2:D9,A2,'Activities - Engineering'!Q2:Q9)+SUMIF('Activities - Procurement'!D2:D9,A2,'Activities - Procurement'!Q2:Q9)+SUMIF('Activities - Construction'!D2:D14,A2,'Activities - Construction'!Q2:Q14)+SUMIF('Activities - Commissioning'!D2:D6,A2,'Activities - Commissioning'!Q2:Q6)),0)</f>
        <v>1.086021505</v>
      </c>
    </row>
    <row r="3">
      <c r="A3" s="2" t="s">
        <v>37</v>
      </c>
      <c r="B3" s="8">
        <f>SUMIFS('Activities - Engineering'!R2:R9,'Activities - Engineering'!D2:D9,A3,'Activities - Engineering'!E2:E9,"P1")+SUMIFS('Activities - Procurement'!R2:R9,'Activities - Procurement'!D2:D9,A3,'Activities - Procurement'!E2:E9,"P1")+SUMIFS('Activities - Construction'!R2:R14,'Activities - Construction'!D2:D14,A3,'Activities - Construction'!E2:E14,"P1")+SUMIFS('Activities - Commissioning'!R2:R6,'Activities - Commissioning'!D2:D6,A3,'Activities - Commissioning'!E2:E6,"P1")</f>
        <v>0</v>
      </c>
      <c r="C3" s="8">
        <f>SUMIFS('Activities - Engineering'!R2:R9,'Activities - Engineering'!D2:D9,A3,'Activities - Engineering'!E2:E9,"P2")+SUMIFS('Activities - Procurement'!R2:R9,'Activities - Procurement'!D2:D9,A3,'Activities - Procurement'!E2:E9,"P2")+SUMIFS('Activities - Construction'!R2:R14,'Activities - Construction'!D2:D14,A3,'Activities - Construction'!E2:E14,"P2")+SUMIFS('Activities - Commissioning'!R2:R6,'Activities - Commissioning'!D2:D6,A3,'Activities - Commissioning'!E2:E6,"P2")</f>
        <v>223000</v>
      </c>
      <c r="D3" s="8">
        <f>SUMIFS('Activities - Engineering'!R2:R9,'Activities - Engineering'!D2:D9,A3,'Activities - Engineering'!E2:E9,"P3")+SUMIFS('Activities - Procurement'!R2:R9,'Activities - Procurement'!D2:D9,A3,'Activities - Procurement'!E2:E9,"P3")+SUMIFS('Activities - Construction'!R2:R14,'Activities - Construction'!D2:D14,A3,'Activities - Construction'!E2:E14,"P3")+SUMIFS('Activities - Commissioning'!R2:R6,'Activities - Commissioning'!D2:D6,A3,'Activities - Commissioning'!E2:E6,"P3")</f>
        <v>75000</v>
      </c>
      <c r="E3" s="8">
        <f>SUMIFS('Activities - Engineering'!R2:R9,'Activities - Engineering'!D2:D9,A3,'Activities - Engineering'!E2:E9,"P4")+SUMIFS('Activities - Procurement'!R2:R9,'Activities - Procurement'!D2:D9,A3,'Activities - Procurement'!E2:E9,"P4")+SUMIFS('Activities - Construction'!R2:R14,'Activities - Construction'!D2:D14,A3,'Activities - Construction'!E2:E14,"P4")+SUMIFS('Activities - Commissioning'!R2:R6,'Activities - Commissioning'!D2:D6,A3,'Activities - Commissioning'!E2:E6,"P4")</f>
        <v>0</v>
      </c>
      <c r="F3" s="8">
        <f>SUMIF('Activities - Engineering'!D2:D9,A3,'Activities - Engineering'!S2:S9)+SUMIF('Activities - Procurement'!D2:D9,A3,'Activities - Procurement'!S2:S9)+SUMIF('Activities - Construction'!D2:D14,A3,'Activities - Construction'!S2:S14)+SUMIF('Activities - Commissioning'!D2:D6,A3,'Activities - Commissioning'!S2:S6)</f>
        <v>305000</v>
      </c>
      <c r="G3" s="10">
        <f>F3-(SUMIF('Activities - Engineering'!D2:D9,A3,'Activities - Engineering'!Q2:Q9)+SUMIF('Activities - Procurement'!D2:D9,A3,'Activities - Procurement'!Q2:Q9)+SUMIF('Activities - Construction'!D2:D14,A3,'Activities - Construction'!Q2:Q14)+SUMIF('Activities - Commissioning'!D2:D6,A3,'Activities - Commissioning'!Q2:Q6))</f>
        <v>-5000</v>
      </c>
      <c r="H3" s="4">
        <f>IFERROR(F3/(SUMIF('Activities - Engineering'!D2:D9,A3,'Activities - Engineering'!Q2:Q9)+SUMIF('Activities - Procurement'!D2:D9,A3,'Activities - Procurement'!Q2:Q9)+SUMIF('Activities - Construction'!D2:D14,A3,'Activities - Construction'!Q2:Q14)+SUMIF('Activities - Commissioning'!D2:D6,A3,'Activities - Commissioning'!Q2:Q6)),0)</f>
        <v>0.9838709677</v>
      </c>
    </row>
    <row r="4">
      <c r="A4" s="2" t="s">
        <v>104</v>
      </c>
      <c r="B4" s="8">
        <f>SUMIFS('Activities - Engineering'!R2:R9,'Activities - Engineering'!D2:D9,A4,'Activities - Engineering'!E2:E9,"P1")+SUMIFS('Activities - Procurement'!R2:R9,'Activities - Procurement'!D2:D9,A4,'Activities - Procurement'!E2:E9,"P1")+SUMIFS('Activities - Construction'!R2:R14,'Activities - Construction'!D2:D14,A4,'Activities - Construction'!E2:E14,"P1")+SUMIFS('Activities - Commissioning'!R2:R6,'Activities - Commissioning'!D2:D6,A4,'Activities - Commissioning'!E2:E6,"P1")</f>
        <v>41200</v>
      </c>
      <c r="C4" s="8">
        <f>SUMIFS('Activities - Engineering'!R2:R9,'Activities - Engineering'!D2:D9,A4,'Activities - Engineering'!E2:E9,"P2")+SUMIFS('Activities - Procurement'!R2:R9,'Activities - Procurement'!D2:D9,A4,'Activities - Procurement'!E2:E9,"P2")+SUMIFS('Activities - Construction'!R2:R14,'Activities - Construction'!D2:D14,A4,'Activities - Construction'!E2:E14,"P2")+SUMIFS('Activities - Commissioning'!R2:R6,'Activities - Commissioning'!D2:D6,A4,'Activities - Commissioning'!E2:E6,"P2")</f>
        <v>0</v>
      </c>
      <c r="D4" s="8">
        <f>SUMIFS('Activities - Engineering'!R2:R9,'Activities - Engineering'!D2:D9,A4,'Activities - Engineering'!E2:E9,"P3")+SUMIFS('Activities - Procurement'!R2:R9,'Activities - Procurement'!D2:D9,A4,'Activities - Procurement'!E2:E9,"P3")+SUMIFS('Activities - Construction'!R2:R14,'Activities - Construction'!D2:D14,A4,'Activities - Construction'!E2:E14,"P3")+SUMIFS('Activities - Commissioning'!R2:R6,'Activities - Commissioning'!D2:D6,A4,'Activities - Commissioning'!E2:E6,"P3")</f>
        <v>0</v>
      </c>
      <c r="E4" s="8">
        <f>SUMIFS('Activities - Engineering'!R2:R9,'Activities - Engineering'!D2:D9,A4,'Activities - Engineering'!E2:E9,"P4")+SUMIFS('Activities - Procurement'!R2:R9,'Activities - Procurement'!D2:D9,A4,'Activities - Procurement'!E2:E9,"P4")+SUMIFS('Activities - Construction'!R2:R14,'Activities - Construction'!D2:D14,A4,'Activities - Construction'!E2:E14,"P4")+SUMIFS('Activities - Commissioning'!R2:R6,'Activities - Commissioning'!D2:D6,A4,'Activities - Commissioning'!E2:E6,"P4")</f>
        <v>0</v>
      </c>
      <c r="F4" s="8">
        <f>SUMIF('Activities - Engineering'!D2:D9,A4,'Activities - Engineering'!S2:S9)+SUMIF('Activities - Procurement'!D2:D9,A4,'Activities - Procurement'!S2:S9)+SUMIF('Activities - Construction'!D2:D14,A4,'Activities - Construction'!S2:S14)+SUMIF('Activities - Commissioning'!D2:D6,A4,'Activities - Commissioning'!S2:S6)</f>
        <v>46000</v>
      </c>
      <c r="G4" s="10">
        <f>F4-(SUMIF('Activities - Engineering'!D2:D9,A4,'Activities - Engineering'!Q2:Q9)+SUMIF('Activities - Procurement'!D2:D9,A4,'Activities - Procurement'!Q2:Q9)+SUMIF('Activities - Construction'!D2:D14,A4,'Activities - Construction'!Q2:Q14)+SUMIF('Activities - Commissioning'!D2:D6,A4,'Activities - Commissioning'!Q2:Q6))</f>
        <v>21000</v>
      </c>
      <c r="H4" s="4">
        <f>IFERROR(F4/(SUMIF('Activities - Engineering'!D2:D9,A4,'Activities - Engineering'!Q2:Q9)+SUMIF('Activities - Procurement'!D2:D9,A4,'Activities - Procurement'!Q2:Q9)+SUMIF('Activities - Construction'!D2:D14,A4,'Activities - Construction'!Q2:Q14)+SUMIF('Activities - Commissioning'!D2:D6,A4,'Activities - Commissioning'!Q2:Q6)),0)</f>
        <v>1.84</v>
      </c>
    </row>
    <row r="5">
      <c r="A5" s="2" t="s">
        <v>77</v>
      </c>
      <c r="B5" s="8">
        <f>SUMIFS('Activities - Engineering'!R2:R9,'Activities - Engineering'!D2:D9,A5,'Activities - Engineering'!E2:E9,"P1")+SUMIFS('Activities - Procurement'!R2:R9,'Activities - Procurement'!D2:D9,A5,'Activities - Procurement'!E2:E9,"P1")+SUMIFS('Activities - Construction'!R2:R14,'Activities - Construction'!D2:D14,A5,'Activities - Construction'!E2:E14,"P1")+SUMIFS('Activities - Commissioning'!R2:R6,'Activities - Commissioning'!D2:D6,A5,'Activities - Commissioning'!E2:E6,"P1")</f>
        <v>0</v>
      </c>
      <c r="C5" s="8">
        <f>SUMIFS('Activities - Engineering'!R2:R9,'Activities - Engineering'!D2:D9,A5,'Activities - Engineering'!E2:E9,"P2")+SUMIFS('Activities - Procurement'!R2:R9,'Activities - Procurement'!D2:D9,A5,'Activities - Procurement'!E2:E9,"P2")+SUMIFS('Activities - Construction'!R2:R14,'Activities - Construction'!D2:D14,A5,'Activities - Construction'!E2:E14,"P2")+SUMIFS('Activities - Commissioning'!R2:R6,'Activities - Commissioning'!D2:D6,A5,'Activities - Commissioning'!E2:E6,"P2")</f>
        <v>187500</v>
      </c>
      <c r="D5" s="8">
        <f>SUMIFS('Activities - Engineering'!R2:R9,'Activities - Engineering'!D2:D9,A5,'Activities - Engineering'!E2:E9,"P3")+SUMIFS('Activities - Procurement'!R2:R9,'Activities - Procurement'!D2:D9,A5,'Activities - Procurement'!E2:E9,"P3")+SUMIFS('Activities - Construction'!R2:R14,'Activities - Construction'!D2:D14,A5,'Activities - Construction'!E2:E14,"P3")+SUMIFS('Activities - Commissioning'!R2:R6,'Activities - Commissioning'!D2:D6,A5,'Activities - Commissioning'!E2:E6,"P3")</f>
        <v>45000</v>
      </c>
      <c r="E5" s="8">
        <f>SUMIFS('Activities - Engineering'!R2:R9,'Activities - Engineering'!D2:D9,A5,'Activities - Engineering'!E2:E9,"P4")+SUMIFS('Activities - Procurement'!R2:R9,'Activities - Procurement'!D2:D9,A5,'Activities - Procurement'!E2:E9,"P4")+SUMIFS('Activities - Construction'!R2:R14,'Activities - Construction'!D2:D14,A5,'Activities - Construction'!E2:E14,"P4")+SUMIFS('Activities - Commissioning'!R2:R6,'Activities - Commissioning'!D2:D6,A5,'Activities - Commissioning'!E2:E6,"P4")</f>
        <v>0</v>
      </c>
      <c r="F5" s="8">
        <f>SUMIF('Activities - Engineering'!D2:D9,A5,'Activities - Engineering'!S2:S9)+SUMIF('Activities - Procurement'!D2:D9,A5,'Activities - Procurement'!S2:S9)+SUMIF('Activities - Construction'!D2:D14,A5,'Activities - Construction'!S2:S14)+SUMIF('Activities - Commissioning'!D2:D6,A5,'Activities - Commissioning'!S2:S6)</f>
        <v>335000</v>
      </c>
      <c r="G5" s="10">
        <f>F5-(SUMIF('Activities - Engineering'!D2:D9,A5,'Activities - Engineering'!Q2:Q9)+SUMIF('Activities - Procurement'!D2:D9,A5,'Activities - Procurement'!Q2:Q9)+SUMIF('Activities - Construction'!D2:D14,A5,'Activities - Construction'!Q2:Q14)+SUMIF('Activities - Commissioning'!D2:D6,A5,'Activities - Commissioning'!Q2:Q6))</f>
        <v>5000</v>
      </c>
      <c r="H5" s="4">
        <f>IFERROR(F5/(SUMIF('Activities - Engineering'!D2:D9,A5,'Activities - Engineering'!Q2:Q9)+SUMIF('Activities - Procurement'!D2:D9,A5,'Activities - Procurement'!Q2:Q9)+SUMIF('Activities - Construction'!D2:D14,A5,'Activities - Construction'!Q2:Q14)+SUMIF('Activities - Commissioning'!D2:D6,A5,'Activities - Commissioning'!Q2:Q6)),0)</f>
        <v>1.015151515</v>
      </c>
    </row>
    <row r="6">
      <c r="A6" s="2" t="s">
        <v>137</v>
      </c>
      <c r="B6" s="8">
        <f>SUMIFS('Activities - Engineering'!R2:R9,'Activities - Engineering'!D2:D9,A6,'Activities - Engineering'!E2:E9,"P1")+SUMIFS('Activities - Procurement'!R2:R9,'Activities - Procurement'!D2:D9,A6,'Activities - Procurement'!E2:E9,"P1")+SUMIFS('Activities - Construction'!R2:R14,'Activities - Construction'!D2:D14,A6,'Activities - Construction'!E2:E14,"P1")+SUMIFS('Activities - Commissioning'!R2:R6,'Activities - Commissioning'!D2:D6,A6,'Activities - Commissioning'!E2:E6,"P1")</f>
        <v>0</v>
      </c>
      <c r="C6" s="8">
        <f>SUMIFS('Activities - Engineering'!R2:R9,'Activities - Engineering'!D2:D9,A6,'Activities - Engineering'!E2:E9,"P2")+SUMIFS('Activities - Procurement'!R2:R9,'Activities - Procurement'!D2:D9,A6,'Activities - Procurement'!E2:E9,"P2")+SUMIFS('Activities - Construction'!R2:R14,'Activities - Construction'!D2:D14,A6,'Activities - Construction'!E2:E14,"P2")+SUMIFS('Activities - Commissioning'!R2:R6,'Activities - Commissioning'!D2:D6,A6,'Activities - Commissioning'!E2:E6,"P2")</f>
        <v>0</v>
      </c>
      <c r="D6" s="8">
        <f>SUMIFS('Activities - Engineering'!R2:R9,'Activities - Engineering'!D2:D9,A6,'Activities - Engineering'!E2:E9,"P3")+SUMIFS('Activities - Procurement'!R2:R9,'Activities - Procurement'!D2:D9,A6,'Activities - Procurement'!E2:E9,"P3")+SUMIFS('Activities - Construction'!R2:R14,'Activities - Construction'!D2:D14,A6,'Activities - Construction'!E2:E14,"P3")+SUMIFS('Activities - Commissioning'!R2:R6,'Activities - Commissioning'!D2:D6,A6,'Activities - Commissioning'!E2:E6,"P3")</f>
        <v>156800</v>
      </c>
      <c r="E6" s="8">
        <f>SUMIFS('Activities - Engineering'!R2:R9,'Activities - Engineering'!D2:D9,A6,'Activities - Engineering'!E2:E9,"P4")+SUMIFS('Activities - Procurement'!R2:R9,'Activities - Procurement'!D2:D9,A6,'Activities - Procurement'!E2:E9,"P4")+SUMIFS('Activities - Construction'!R2:R14,'Activities - Construction'!D2:D14,A6,'Activities - Construction'!E2:E14,"P4")+SUMIFS('Activities - Commissioning'!R2:R6,'Activities - Commissioning'!D2:D6,A6,'Activities - Commissioning'!E2:E6,"P4")</f>
        <v>0</v>
      </c>
      <c r="F6" s="8">
        <f>SUMIF('Activities - Engineering'!D2:D9,A6,'Activities - Engineering'!S2:S9)+SUMIF('Activities - Procurement'!D2:D9,A6,'Activities - Procurement'!S2:S9)+SUMIF('Activities - Construction'!D2:D14,A6,'Activities - Construction'!S2:S14)+SUMIF('Activities - Commissioning'!D2:D6,A6,'Activities - Commissioning'!S2:S6)</f>
        <v>162000</v>
      </c>
      <c r="G6" s="10">
        <f>F6-(SUMIF('Activities - Engineering'!D2:D9,A6,'Activities - Engineering'!Q2:Q9)+SUMIF('Activities - Procurement'!D2:D9,A6,'Activities - Procurement'!Q2:Q9)+SUMIF('Activities - Construction'!D2:D14,A6,'Activities - Construction'!Q2:Q14)+SUMIF('Activities - Commissioning'!D2:D6,A6,'Activities - Commissioning'!Q2:Q6))</f>
        <v>12000</v>
      </c>
      <c r="H6" s="4">
        <f>IFERROR(F6/(SUMIF('Activities - Engineering'!D2:D9,A6,'Activities - Engineering'!Q2:Q9)+SUMIF('Activities - Procurement'!D2:D9,A6,'Activities - Procurement'!Q2:Q9)+SUMIF('Activities - Construction'!D2:D14,A6,'Activities - Construction'!Q2:Q14)+SUMIF('Activities - Commissioning'!D2:D6,A6,'Activities - Commissioning'!Q2:Q6)),0)</f>
        <v>1.08</v>
      </c>
    </row>
    <row r="7">
      <c r="A7" s="2" t="s">
        <v>28</v>
      </c>
      <c r="B7" s="8">
        <f>SUMIFS('Activities - Engineering'!R2:R9,'Activities - Engineering'!D2:D9,A7,'Activities - Engineering'!E2:E9,"P1")+SUMIFS('Activities - Procurement'!R2:R9,'Activities - Procurement'!D2:D9,A7,'Activities - Procurement'!E2:E9,"P1")+SUMIFS('Activities - Construction'!R2:R14,'Activities - Construction'!D2:D14,A7,'Activities - Construction'!E2:E14,"P1")+SUMIFS('Activities - Commissioning'!R2:R6,'Activities - Commissioning'!D2:D6,A7,'Activities - Commissioning'!E2:E6,"P1")</f>
        <v>82000</v>
      </c>
      <c r="C7" s="8">
        <f>SUMIFS('Activities - Engineering'!R2:R9,'Activities - Engineering'!D2:D9,A7,'Activities - Engineering'!E2:E9,"P2")+SUMIFS('Activities - Procurement'!R2:R9,'Activities - Procurement'!D2:D9,A7,'Activities - Procurement'!E2:E9,"P2")+SUMIFS('Activities - Construction'!R2:R14,'Activities - Construction'!D2:D14,A7,'Activities - Construction'!E2:E14,"P2")+SUMIFS('Activities - Commissioning'!R2:R6,'Activities - Commissioning'!D2:D6,A7,'Activities - Commissioning'!E2:E6,"P2")</f>
        <v>96000</v>
      </c>
      <c r="D7" s="8">
        <f>SUMIFS('Activities - Engineering'!R2:R9,'Activities - Engineering'!D2:D9,A7,'Activities - Engineering'!E2:E9,"P3")+SUMIFS('Activities - Procurement'!R2:R9,'Activities - Procurement'!D2:D9,A7,'Activities - Procurement'!E2:E9,"P3")+SUMIFS('Activities - Construction'!R2:R14,'Activities - Construction'!D2:D14,A7,'Activities - Construction'!E2:E14,"P3")+SUMIFS('Activities - Commissioning'!R2:R6,'Activities - Commissioning'!D2:D6,A7,'Activities - Commissioning'!E2:E6,"P3")</f>
        <v>0</v>
      </c>
      <c r="E7" s="8">
        <f>SUMIFS('Activities - Engineering'!R2:R9,'Activities - Engineering'!D2:D9,A7,'Activities - Engineering'!E2:E9,"P4")+SUMIFS('Activities - Procurement'!R2:R9,'Activities - Procurement'!D2:D9,A7,'Activities - Procurement'!E2:E9,"P4")+SUMIFS('Activities - Construction'!R2:R14,'Activities - Construction'!D2:D14,A7,'Activities - Construction'!E2:E14,"P4")+SUMIFS('Activities - Commissioning'!R2:R6,'Activities - Commissioning'!D2:D6,A7,'Activities - Commissioning'!E2:E6,"P4")</f>
        <v>0</v>
      </c>
      <c r="F7" s="8">
        <f>SUMIF('Activities - Engineering'!D2:D9,A7,'Activities - Engineering'!S2:S9)+SUMIF('Activities - Procurement'!D2:D9,A7,'Activities - Procurement'!S2:S9)+SUMIF('Activities - Construction'!D2:D14,A7,'Activities - Construction'!S2:S14)+SUMIF('Activities - Commissioning'!D2:D6,A7,'Activities - Commissioning'!S2:S6)</f>
        <v>178000</v>
      </c>
      <c r="G7" s="10">
        <f>F7-(SUMIF('Activities - Engineering'!D2:D9,A7,'Activities - Engineering'!Q2:Q9)+SUMIF('Activities - Procurement'!D2:D9,A7,'Activities - Procurement'!Q2:Q9)+SUMIF('Activities - Construction'!D2:D14,A7,'Activities - Construction'!Q2:Q14)+SUMIF('Activities - Commissioning'!D2:D6,A7,'Activities - Commissioning'!Q2:Q6))</f>
        <v>3000</v>
      </c>
      <c r="H7" s="4">
        <f>IFERROR(F7/(SUMIF('Activities - Engineering'!D2:D9,A7,'Activities - Engineering'!Q2:Q9)+SUMIF('Activities - Procurement'!D2:D9,A7,'Activities - Procurement'!Q2:Q9)+SUMIF('Activities - Construction'!D2:D14,A7,'Activities - Construction'!Q2:Q14)+SUMIF('Activities - Commissioning'!D2:D6,A7,'Activities - Commissioning'!Q2:Q6)),0)</f>
        <v>1.017142857</v>
      </c>
    </row>
    <row r="8">
      <c r="A8" s="2" t="s">
        <v>140</v>
      </c>
      <c r="B8" s="8">
        <f>SUMIFS('Activities - Engineering'!R2:R9,'Activities - Engineering'!D2:D9,A8,'Activities - Engineering'!E2:E9,"P1")+SUMIFS('Activities - Procurement'!R2:R9,'Activities - Procurement'!D2:D9,A8,'Activities - Procurement'!E2:E9,"P1")+SUMIFS('Activities - Construction'!R2:R14,'Activities - Construction'!D2:D14,A8,'Activities - Construction'!E2:E14,"P1")+SUMIFS('Activities - Commissioning'!R2:R6,'Activities - Commissioning'!D2:D6,A8,'Activities - Commissioning'!E2:E6,"P1")</f>
        <v>0</v>
      </c>
      <c r="C8" s="8">
        <f>SUMIFS('Activities - Engineering'!R2:R9,'Activities - Engineering'!D2:D9,A8,'Activities - Engineering'!E2:E9,"P2")+SUMIFS('Activities - Procurement'!R2:R9,'Activities - Procurement'!D2:D9,A8,'Activities - Procurement'!E2:E9,"P2")+SUMIFS('Activities - Construction'!R2:R14,'Activities - Construction'!D2:D14,A8,'Activities - Construction'!E2:E14,"P2")+SUMIFS('Activities - Commissioning'!R2:R6,'Activities - Commissioning'!D2:D6,A8,'Activities - Commissioning'!E2:E6,"P2")</f>
        <v>0</v>
      </c>
      <c r="D8" s="8">
        <f>SUMIFS('Activities - Engineering'!R2:R9,'Activities - Engineering'!D2:D9,A8,'Activities - Engineering'!E2:E9,"P3")+SUMIFS('Activities - Procurement'!R2:R9,'Activities - Procurement'!D2:D9,A8,'Activities - Procurement'!E2:E9,"P3")+SUMIFS('Activities - Construction'!R2:R14,'Activities - Construction'!D2:D14,A8,'Activities - Construction'!E2:E14,"P3")+SUMIFS('Activities - Commissioning'!R2:R6,'Activities - Commissioning'!D2:D6,A8,'Activities - Commissioning'!E2:E6,"P3")</f>
        <v>6300</v>
      </c>
      <c r="E8" s="8">
        <f>SUMIFS('Activities - Engineering'!R2:R9,'Activities - Engineering'!D2:D9,A8,'Activities - Engineering'!E2:E9,"P4")+SUMIFS('Activities - Procurement'!R2:R9,'Activities - Procurement'!D2:D9,A8,'Activities - Procurement'!E2:E9,"P4")+SUMIFS('Activities - Construction'!R2:R14,'Activities - Construction'!D2:D14,A8,'Activities - Construction'!E2:E14,"P4")+SUMIFS('Activities - Commissioning'!R2:R6,'Activities - Commissioning'!D2:D6,A8,'Activities - Commissioning'!E2:E6,"P4")</f>
        <v>0</v>
      </c>
      <c r="F8" s="8">
        <f>SUMIF('Activities - Engineering'!D2:D9,A8,'Activities - Engineering'!S2:S9)+SUMIF('Activities - Procurement'!D2:D9,A8,'Activities - Procurement'!S2:S9)+SUMIF('Activities - Construction'!D2:D14,A8,'Activities - Construction'!S2:S14)+SUMIF('Activities - Commissioning'!D2:D6,A8,'Activities - Commissioning'!S2:S6)</f>
        <v>12000</v>
      </c>
      <c r="G8" s="10">
        <f>F8-(SUMIF('Activities - Engineering'!D2:D9,A8,'Activities - Engineering'!Q2:Q9)+SUMIF('Activities - Procurement'!D2:D9,A8,'Activities - Procurement'!Q2:Q9)+SUMIF('Activities - Construction'!D2:D14,A8,'Activities - Construction'!Q2:Q14)+SUMIF('Activities - Commissioning'!D2:D6,A8,'Activities - Commissioning'!Q2:Q6))</f>
        <v>-38000</v>
      </c>
      <c r="H8" s="4">
        <f>IFERROR(F8/(SUMIF('Activities - Engineering'!D2:D9,A8,'Activities - Engineering'!Q2:Q9)+SUMIF('Activities - Procurement'!D2:D9,A8,'Activities - Procurement'!Q2:Q9)+SUMIF('Activities - Construction'!D2:D14,A8,'Activities - Construction'!Q2:Q14)+SUMIF('Activities - Commissioning'!D2:D6,A8,'Activities - Commissioning'!Q2:Q6)),0)</f>
        <v>0.24</v>
      </c>
    </row>
    <row r="9">
      <c r="A9" s="2" t="s">
        <v>112</v>
      </c>
      <c r="B9" s="8">
        <f>SUMIFS('Activities - Engineering'!R2:R9,'Activities - Engineering'!D2:D9,A9,'Activities - Engineering'!E2:E9,"P1")+SUMIFS('Activities - Procurement'!R2:R9,'Activities - Procurement'!D2:D9,A9,'Activities - Procurement'!E2:E9,"P1")+SUMIFS('Activities - Construction'!R2:R14,'Activities - Construction'!D2:D14,A9,'Activities - Construction'!E2:E14,"P1")+SUMIFS('Activities - Commissioning'!R2:R6,'Activities - Commissioning'!D2:D6,A9,'Activities - Commissioning'!E2:E6,"P1")</f>
        <v>0</v>
      </c>
      <c r="C9" s="8">
        <f>SUMIFS('Activities - Engineering'!R2:R9,'Activities - Engineering'!D2:D9,A9,'Activities - Engineering'!E2:E9,"P2")+SUMIFS('Activities - Procurement'!R2:R9,'Activities - Procurement'!D2:D9,A9,'Activities - Procurement'!E2:E9,"P2")+SUMIFS('Activities - Construction'!R2:R14,'Activities - Construction'!D2:D14,A9,'Activities - Construction'!E2:E14,"P2")+SUMIFS('Activities - Commissioning'!R2:R6,'Activities - Commissioning'!D2:D6,A9,'Activities - Commissioning'!E2:E6,"P2")</f>
        <v>180000</v>
      </c>
      <c r="D9" s="8">
        <f>SUMIFS('Activities - Engineering'!R2:R9,'Activities - Engineering'!D2:D9,A9,'Activities - Engineering'!E2:E9,"P3")+SUMIFS('Activities - Procurement'!R2:R9,'Activities - Procurement'!D2:D9,A9,'Activities - Procurement'!E2:E9,"P3")+SUMIFS('Activities - Construction'!R2:R14,'Activities - Construction'!D2:D14,A9,'Activities - Construction'!E2:E14,"P3")+SUMIFS('Activities - Commissioning'!R2:R6,'Activities - Commissioning'!D2:D6,A9,'Activities - Commissioning'!E2:E6,"P3")</f>
        <v>0</v>
      </c>
      <c r="E9" s="8">
        <f>SUMIFS('Activities - Engineering'!R2:R9,'Activities - Engineering'!D2:D9,A9,'Activities - Engineering'!E2:E9,"P4")+SUMIFS('Activities - Procurement'!R2:R9,'Activities - Procurement'!D2:D9,A9,'Activities - Procurement'!E2:E9,"P4")+SUMIFS('Activities - Construction'!R2:R14,'Activities - Construction'!D2:D14,A9,'Activities - Construction'!E2:E14,"P4")+SUMIFS('Activities - Commissioning'!R2:R6,'Activities - Commissioning'!D2:D6,A9,'Activities - Commissioning'!E2:E6,"P4")</f>
        <v>0</v>
      </c>
      <c r="F9" s="8">
        <f>SUMIF('Activities - Engineering'!D2:D9,A9,'Activities - Engineering'!S2:S9)+SUMIF('Activities - Procurement'!D2:D9,A9,'Activities - Procurement'!S2:S9)+SUMIF('Activities - Construction'!D2:D14,A9,'Activities - Construction'!S2:S14)+SUMIF('Activities - Commissioning'!D2:D6,A9,'Activities - Commissioning'!S2:S6)</f>
        <v>225000</v>
      </c>
      <c r="G9" s="10">
        <f>F9-(SUMIF('Activities - Engineering'!D2:D9,A9,'Activities - Engineering'!Q2:Q9)+SUMIF('Activities - Procurement'!D2:D9,A9,'Activities - Procurement'!Q2:Q9)+SUMIF('Activities - Construction'!D2:D14,A9,'Activities - Construction'!Q2:Q14)+SUMIF('Activities - Commissioning'!D2:D6,A9,'Activities - Commissioning'!Q2:Q6))</f>
        <v>5000</v>
      </c>
      <c r="H9" s="4">
        <f>IFERROR(F9/(SUMIF('Activities - Engineering'!D2:D9,A9,'Activities - Engineering'!Q2:Q9)+SUMIF('Activities - Procurement'!D2:D9,A9,'Activities - Procurement'!Q2:Q9)+SUMIF('Activities - Construction'!D2:D14,A9,'Activities - Construction'!Q2:Q14)+SUMIF('Activities - Commissioning'!D2:D6,A9,'Activities - Commissioning'!Q2:Q6)),0)</f>
        <v>1.022727273</v>
      </c>
    </row>
    <row r="10">
      <c r="A10" s="2" t="s">
        <v>122</v>
      </c>
      <c r="B10" s="8">
        <f>SUMIFS('Activities - Engineering'!R2:R9,'Activities - Engineering'!D2:D9,A10,'Activities - Engineering'!E2:E9,"P1")+SUMIFS('Activities - Procurement'!R2:R9,'Activities - Procurement'!D2:D9,A10,'Activities - Procurement'!E2:E9,"P1")+SUMIFS('Activities - Construction'!R2:R14,'Activities - Construction'!D2:D14,A10,'Activities - Construction'!E2:E14,"P1")+SUMIFS('Activities - Commissioning'!R2:R6,'Activities - Commissioning'!D2:D6,A10,'Activities - Commissioning'!E2:E6,"P1")</f>
        <v>0</v>
      </c>
      <c r="C10" s="8">
        <f>SUMIFS('Activities - Engineering'!R2:R9,'Activities - Engineering'!D2:D9,A10,'Activities - Engineering'!E2:E9,"P2")+SUMIFS('Activities - Procurement'!R2:R9,'Activities - Procurement'!D2:D9,A10,'Activities - Procurement'!E2:E9,"P2")+SUMIFS('Activities - Construction'!R2:R14,'Activities - Construction'!D2:D14,A10,'Activities - Construction'!E2:E14,"P2")+SUMIFS('Activities - Commissioning'!R2:R6,'Activities - Commissioning'!D2:D6,A10,'Activities - Commissioning'!E2:E6,"P2")</f>
        <v>0</v>
      </c>
      <c r="D10" s="8">
        <f>SUMIFS('Activities - Engineering'!R2:R9,'Activities - Engineering'!D2:D9,A10,'Activities - Engineering'!E2:E9,"P3")+SUMIFS('Activities - Procurement'!R2:R9,'Activities - Procurement'!D2:D9,A10,'Activities - Procurement'!E2:E9,"P3")+SUMIFS('Activities - Construction'!R2:R14,'Activities - Construction'!D2:D14,A10,'Activities - Construction'!E2:E14,"P3")+SUMIFS('Activities - Commissioning'!R2:R6,'Activities - Commissioning'!D2:D6,A10,'Activities - Commissioning'!E2:E6,"P3")</f>
        <v>155000</v>
      </c>
      <c r="E10" s="8">
        <f>SUMIFS('Activities - Engineering'!R2:R9,'Activities - Engineering'!D2:D9,A10,'Activities - Engineering'!E2:E9,"P4")+SUMIFS('Activities - Procurement'!R2:R9,'Activities - Procurement'!D2:D9,A10,'Activities - Procurement'!E2:E9,"P4")+SUMIFS('Activities - Construction'!R2:R14,'Activities - Construction'!D2:D14,A10,'Activities - Construction'!E2:E14,"P4")+SUMIFS('Activities - Commissioning'!R2:R6,'Activities - Commissioning'!D2:D6,A10,'Activities - Commissioning'!E2:E6,"P4")</f>
        <v>0</v>
      </c>
      <c r="F10" s="8">
        <f>SUMIF('Activities - Engineering'!D2:D9,A10,'Activities - Engineering'!S2:S9)+SUMIF('Activities - Procurement'!D2:D9,A10,'Activities - Procurement'!S2:S9)+SUMIF('Activities - Construction'!D2:D14,A10,'Activities - Construction'!S2:S14)+SUMIF('Activities - Commissioning'!D2:D6,A10,'Activities - Commissioning'!S2:S6)</f>
        <v>460000</v>
      </c>
      <c r="G10" s="10">
        <f>F10-(SUMIF('Activities - Engineering'!D2:D9,A10,'Activities - Engineering'!Q2:Q9)+SUMIF('Activities - Procurement'!D2:D9,A10,'Activities - Procurement'!Q2:Q9)+SUMIF('Activities - Construction'!D2:D14,A10,'Activities - Construction'!Q2:Q14)+SUMIF('Activities - Commissioning'!D2:D6,A10,'Activities - Commissioning'!Q2:Q6))</f>
        <v>20000</v>
      </c>
      <c r="H10" s="4">
        <f>IFERROR(F10/(SUMIF('Activities - Engineering'!D2:D9,A10,'Activities - Engineering'!Q2:Q9)+SUMIF('Activities - Procurement'!D2:D9,A10,'Activities - Procurement'!Q2:Q9)+SUMIF('Activities - Construction'!D2:D14,A10,'Activities - Construction'!Q2:Q14)+SUMIF('Activities - Commissioning'!D2:D6,A10,'Activities - Commissioning'!Q2:Q6)),0)</f>
        <v>1.045454545</v>
      </c>
    </row>
    <row r="11">
      <c r="A11" s="2" t="s">
        <v>130</v>
      </c>
      <c r="B11" s="8">
        <f>SUMIFS('Activities - Engineering'!R2:R9,'Activities - Engineering'!D2:D9,A11,'Activities - Engineering'!E2:E9,"P1")+SUMIFS('Activities - Procurement'!R2:R9,'Activities - Procurement'!D2:D9,A11,'Activities - Procurement'!E2:E9,"P1")+SUMIFS('Activities - Construction'!R2:R14,'Activities - Construction'!D2:D14,A11,'Activities - Construction'!E2:E14,"P1")+SUMIFS('Activities - Commissioning'!R2:R6,'Activities - Commissioning'!D2:D6,A11,'Activities - Commissioning'!E2:E6,"P1")</f>
        <v>0</v>
      </c>
      <c r="C11" s="8">
        <f>SUMIFS('Activities - Engineering'!R2:R9,'Activities - Engineering'!D2:D9,A11,'Activities - Engineering'!E2:E9,"P2")+SUMIFS('Activities - Procurement'!R2:R9,'Activities - Procurement'!D2:D9,A11,'Activities - Procurement'!E2:E9,"P2")+SUMIFS('Activities - Construction'!R2:R14,'Activities - Construction'!D2:D14,A11,'Activities - Construction'!E2:E14,"P2")+SUMIFS('Activities - Commissioning'!R2:R6,'Activities - Commissioning'!D2:D6,A11,'Activities - Commissioning'!E2:E6,"P2")</f>
        <v>0</v>
      </c>
      <c r="D11" s="8">
        <f>SUMIFS('Activities - Engineering'!R2:R9,'Activities - Engineering'!D2:D9,A11,'Activities - Engineering'!E2:E9,"P3")+SUMIFS('Activities - Procurement'!R2:R9,'Activities - Procurement'!D2:D9,A11,'Activities - Procurement'!E2:E9,"P3")+SUMIFS('Activities - Construction'!R2:R14,'Activities - Construction'!D2:D14,A11,'Activities - Construction'!E2:E14,"P3")+SUMIFS('Activities - Commissioning'!R2:R6,'Activities - Commissioning'!D2:D6,A11,'Activities - Commissioning'!E2:E6,"P3")</f>
        <v>58000</v>
      </c>
      <c r="E11" s="8">
        <f>SUMIFS('Activities - Engineering'!R2:R9,'Activities - Engineering'!D2:D9,A11,'Activities - Engineering'!E2:E9,"P4")+SUMIFS('Activities - Procurement'!R2:R9,'Activities - Procurement'!D2:D9,A11,'Activities - Procurement'!E2:E9,"P4")+SUMIFS('Activities - Construction'!R2:R14,'Activities - Construction'!D2:D14,A11,'Activities - Construction'!E2:E14,"P4")+SUMIFS('Activities - Commissioning'!R2:R6,'Activities - Commissioning'!D2:D6,A11,'Activities - Commissioning'!E2:E6,"P4")</f>
        <v>0</v>
      </c>
      <c r="F11" s="8">
        <f>SUMIF('Activities - Engineering'!D2:D9,A11,'Activities - Engineering'!S2:S9)+SUMIF('Activities - Procurement'!D2:D9,A11,'Activities - Procurement'!S2:S9)+SUMIF('Activities - Construction'!D2:D14,A11,'Activities - Construction'!S2:S14)+SUMIF('Activities - Commissioning'!D2:D6,A11,'Activities - Commissioning'!S2:S6)</f>
        <v>168000</v>
      </c>
      <c r="G11" s="10">
        <f>F11-(SUMIF('Activities - Engineering'!D2:D9,A11,'Activities - Engineering'!Q2:Q9)+SUMIF('Activities - Procurement'!D2:D9,A11,'Activities - Procurement'!Q2:Q9)+SUMIF('Activities - Construction'!D2:D14,A11,'Activities - Construction'!Q2:Q14)+SUMIF('Activities - Commissioning'!D2:D6,A11,'Activities - Commissioning'!Q2:Q6))</f>
        <v>3000</v>
      </c>
      <c r="H11" s="4">
        <f>IFERROR(F11/(SUMIF('Activities - Engineering'!D2:D9,A11,'Activities - Engineering'!Q2:Q9)+SUMIF('Activities - Procurement'!D2:D9,A11,'Activities - Procurement'!Q2:Q9)+SUMIF('Activities - Construction'!D2:D14,A11,'Activities - Construction'!Q2:Q14)+SUMIF('Activities - Commissioning'!D2:D6,A11,'Activities - Commissioning'!Q2:Q6)),0)</f>
        <v>1.018181818</v>
      </c>
    </row>
    <row r="12">
      <c r="A12" s="2" t="s">
        <v>42</v>
      </c>
      <c r="B12" s="8">
        <f>SUMIFS('Activities - Engineering'!R2:R9,'Activities - Engineering'!D2:D9,A12,'Activities - Engineering'!E2:E9,"P1")+SUMIFS('Activities - Procurement'!R2:R9,'Activities - Procurement'!D2:D9,A12,'Activities - Procurement'!E2:E9,"P1")+SUMIFS('Activities - Construction'!R2:R14,'Activities - Construction'!D2:D14,A12,'Activities - Construction'!E2:E14,"P1")+SUMIFS('Activities - Commissioning'!R2:R6,'Activities - Commissioning'!D2:D6,A12,'Activities - Commissioning'!E2:E6,"P1")</f>
        <v>0</v>
      </c>
      <c r="C12" s="8">
        <f>SUMIFS('Activities - Engineering'!R2:R9,'Activities - Engineering'!D2:D9,A12,'Activities - Engineering'!E2:E9,"P2")+SUMIFS('Activities - Procurement'!R2:R9,'Activities - Procurement'!D2:D9,A12,'Activities - Procurement'!E2:E9,"P2")+SUMIFS('Activities - Construction'!R2:R14,'Activities - Construction'!D2:D14,A12,'Activities - Construction'!E2:E14,"P2")+SUMIFS('Activities - Commissioning'!R2:R6,'Activities - Commissioning'!D2:D6,A12,'Activities - Commissioning'!E2:E6,"P2")</f>
        <v>0</v>
      </c>
      <c r="D12" s="8">
        <f>SUMIFS('Activities - Engineering'!R2:R9,'Activities - Engineering'!D2:D9,A12,'Activities - Engineering'!E2:E9,"P3")+SUMIFS('Activities - Procurement'!R2:R9,'Activities - Procurement'!D2:D9,A12,'Activities - Procurement'!E2:E9,"P3")+SUMIFS('Activities - Construction'!R2:R14,'Activities - Construction'!D2:D14,A12,'Activities - Construction'!E2:E14,"P3")+SUMIFS('Activities - Commissioning'!R2:R6,'Activities - Commissioning'!D2:D6,A12,'Activities - Commissioning'!E2:E6,"P3")</f>
        <v>0</v>
      </c>
      <c r="E12" s="8">
        <f>SUMIFS('Activities - Engineering'!R2:R9,'Activities - Engineering'!D2:D9,A12,'Activities - Engineering'!E2:E9,"P4")+SUMIFS('Activities - Procurement'!R2:R9,'Activities - Procurement'!D2:D9,A12,'Activities - Procurement'!E2:E9,"P4")+SUMIFS('Activities - Construction'!R2:R14,'Activities - Construction'!D2:D14,A12,'Activities - Construction'!E2:E14,"P4")+SUMIFS('Activities - Commissioning'!R2:R6,'Activities - Commissioning'!D2:D6,A12,'Activities - Commissioning'!E2:E6,"P4")</f>
        <v>12000</v>
      </c>
      <c r="F12" s="8">
        <f>SUMIF('Activities - Engineering'!D2:D9,A12,'Activities - Engineering'!S2:S9)+SUMIF('Activities - Procurement'!D2:D9,A12,'Activities - Procurement'!S2:S9)+SUMIF('Activities - Construction'!D2:D14,A12,'Activities - Construction'!S2:S14)+SUMIF('Activities - Commissioning'!D2:D6,A12,'Activities - Commissioning'!S2:S6)</f>
        <v>97000</v>
      </c>
      <c r="G12" s="10">
        <f>F12-(SUMIF('Activities - Engineering'!D2:D9,A12,'Activities - Engineering'!Q2:Q9)+SUMIF('Activities - Procurement'!D2:D9,A12,'Activities - Procurement'!Q2:Q9)+SUMIF('Activities - Construction'!D2:D14,A12,'Activities - Construction'!Q2:Q14)+SUMIF('Activities - Commissioning'!D2:D6,A12,'Activities - Commissioning'!Q2:Q6))</f>
        <v>2000</v>
      </c>
      <c r="H12" s="4">
        <f>IFERROR(F12/(SUMIF('Activities - Engineering'!D2:D9,A12,'Activities - Engineering'!Q2:Q9)+SUMIF('Activities - Procurement'!D2:D9,A12,'Activities - Procurement'!Q2:Q9)+SUMIF('Activities - Construction'!D2:D14,A12,'Activities - Construction'!Q2:Q14)+SUMIF('Activities - Commissioning'!D2:D6,A12,'Activities - Commissioning'!Q2:Q6)),0)</f>
        <v>1.021052632</v>
      </c>
    </row>
    <row r="13">
      <c r="A13" s="2" t="s">
        <v>74</v>
      </c>
      <c r="B13" s="8">
        <f>SUMIFS('Activities - Engineering'!R2:R9,'Activities - Engineering'!D2:D9,A13,'Activities - Engineering'!E2:E9,"P1")+SUMIFS('Activities - Procurement'!R2:R9,'Activities - Procurement'!D2:D9,A13,'Activities - Procurement'!E2:E9,"P1")+SUMIFS('Activities - Construction'!R2:R14,'Activities - Construction'!D2:D14,A13,'Activities - Construction'!E2:E14,"P1")+SUMIFS('Activities - Commissioning'!R2:R6,'Activities - Commissioning'!D2:D6,A13,'Activities - Commissioning'!E2:E6,"P1")</f>
        <v>0</v>
      </c>
      <c r="C13" s="8">
        <f>SUMIFS('Activities - Engineering'!R2:R9,'Activities - Engineering'!D2:D9,A13,'Activities - Engineering'!E2:E9,"P2")+SUMIFS('Activities - Procurement'!R2:R9,'Activities - Procurement'!D2:D9,A13,'Activities - Procurement'!E2:E9,"P2")+SUMIFS('Activities - Construction'!R2:R14,'Activities - Construction'!D2:D14,A13,'Activities - Construction'!E2:E14,"P2")+SUMIFS('Activities - Commissioning'!R2:R6,'Activities - Commissioning'!D2:D6,A13,'Activities - Commissioning'!E2:E6,"P2")</f>
        <v>0</v>
      </c>
      <c r="D13" s="8">
        <f>SUMIFS('Activities - Engineering'!R2:R9,'Activities - Engineering'!D2:D9,A13,'Activities - Engineering'!E2:E9,"P3")+SUMIFS('Activities - Procurement'!R2:R9,'Activities - Procurement'!D2:D9,A13,'Activities - Procurement'!E2:E9,"P3")+SUMIFS('Activities - Construction'!R2:R14,'Activities - Construction'!D2:D14,A13,'Activities - Construction'!E2:E14,"P3")+SUMIFS('Activities - Commissioning'!R2:R6,'Activities - Commissioning'!D2:D6,A13,'Activities - Commissioning'!E2:E6,"P3")</f>
        <v>0</v>
      </c>
      <c r="E13" s="8">
        <f>SUMIFS('Activities - Engineering'!R2:R9,'Activities - Engineering'!D2:D9,A13,'Activities - Engineering'!E2:E9,"P4")+SUMIFS('Activities - Procurement'!R2:R9,'Activities - Procurement'!D2:D9,A13,'Activities - Procurement'!E2:E9,"P4")+SUMIFS('Activities - Construction'!R2:R14,'Activities - Construction'!D2:D14,A13,'Activities - Construction'!E2:E14,"P4")+SUMIFS('Activities - Commissioning'!R2:R6,'Activities - Commissioning'!D2:D6,A13,'Activities - Commissioning'!E2:E6,"P4")</f>
        <v>0</v>
      </c>
      <c r="F13" s="8">
        <f>SUMIF('Activities - Engineering'!D2:D9,A13,'Activities - Engineering'!S2:S9)+SUMIF('Activities - Procurement'!D2:D9,A13,'Activities - Procurement'!S2:S9)+SUMIF('Activities - Construction'!D2:D14,A13,'Activities - Construction'!S2:S14)+SUMIF('Activities - Commissioning'!D2:D6,A13,'Activities - Commissioning'!S2:S6)</f>
        <v>83000</v>
      </c>
      <c r="G13" s="10">
        <f>F13-(SUMIF('Activities - Engineering'!D2:D9,A13,'Activities - Engineering'!Q2:Q9)+SUMIF('Activities - Procurement'!D2:D9,A13,'Activities - Procurement'!Q2:Q9)+SUMIF('Activities - Construction'!D2:D14,A13,'Activities - Construction'!Q2:Q14)+SUMIF('Activities - Commissioning'!D2:D6,A13,'Activities - Commissioning'!Q2:Q6))</f>
        <v>3000</v>
      </c>
      <c r="H13" s="4">
        <f>IFERROR(F13/(SUMIF('Activities - Engineering'!D2:D9,A13,'Activities - Engineering'!Q2:Q9)+SUMIF('Activities - Procurement'!D2:D9,A13,'Activities - Procurement'!Q2:Q9)+SUMIF('Activities - Construction'!D2:D14,A13,'Activities - Construction'!Q2:Q14)+SUMIF('Activities - Commissioning'!D2:D6,A13,'Activities - Commissioning'!Q2:Q6)),0)</f>
        <v>1.0375</v>
      </c>
    </row>
    <row r="14">
      <c r="A14" s="2" t="s">
        <v>143</v>
      </c>
      <c r="B14" s="8">
        <f>SUMIFS('Activities - Engineering'!R2:R9,'Activities - Engineering'!D2:D9,A14,'Activities - Engineering'!E2:E9,"P1")+SUMIFS('Activities - Procurement'!R2:R9,'Activities - Procurement'!D2:D9,A14,'Activities - Procurement'!E2:E9,"P1")+SUMIFS('Activities - Construction'!R2:R14,'Activities - Construction'!D2:D14,A14,'Activities - Construction'!E2:E14,"P1")+SUMIFS('Activities - Commissioning'!R2:R6,'Activities - Commissioning'!D2:D6,A14,'Activities - Commissioning'!E2:E6,"P1")</f>
        <v>0</v>
      </c>
      <c r="C14" s="8">
        <f>SUMIFS('Activities - Engineering'!R2:R9,'Activities - Engineering'!D2:D9,A14,'Activities - Engineering'!E2:E9,"P2")+SUMIFS('Activities - Procurement'!R2:R9,'Activities - Procurement'!D2:D9,A14,'Activities - Procurement'!E2:E9,"P2")+SUMIFS('Activities - Construction'!R2:R14,'Activities - Construction'!D2:D14,A14,'Activities - Construction'!E2:E14,"P2")+SUMIFS('Activities - Commissioning'!R2:R6,'Activities - Commissioning'!D2:D6,A14,'Activities - Commissioning'!E2:E6,"P2")</f>
        <v>0</v>
      </c>
      <c r="D14" s="8">
        <f>SUMIFS('Activities - Engineering'!R2:R9,'Activities - Engineering'!D2:D9,A14,'Activities - Engineering'!E2:E9,"P3")+SUMIFS('Activities - Procurement'!R2:R9,'Activities - Procurement'!D2:D9,A14,'Activities - Procurement'!E2:E9,"P3")+SUMIFS('Activities - Construction'!R2:R14,'Activities - Construction'!D2:D14,A14,'Activities - Construction'!E2:E14,"P3")+SUMIFS('Activities - Commissioning'!R2:R6,'Activities - Commissioning'!D2:D6,A14,'Activities - Commissioning'!E2:E6,"P3")</f>
        <v>0</v>
      </c>
      <c r="E14" s="8">
        <f>SUMIFS('Activities - Engineering'!R2:R9,'Activities - Engineering'!D2:D9,A14,'Activities - Engineering'!E2:E9,"P4")+SUMIFS('Activities - Procurement'!R2:R9,'Activities - Procurement'!D2:D9,A14,'Activities - Procurement'!E2:E9,"P4")+SUMIFS('Activities - Construction'!R2:R14,'Activities - Construction'!D2:D14,A14,'Activities - Construction'!E2:E14,"P4")+SUMIFS('Activities - Commissioning'!R2:R6,'Activities - Commissioning'!D2:D6,A14,'Activities - Commissioning'!E2:E6,"P4")</f>
        <v>0</v>
      </c>
      <c r="F14" s="8">
        <f>SUMIF('Activities - Engineering'!D2:D9,A14,'Activities - Engineering'!S2:S9)+SUMIF('Activities - Procurement'!D2:D9,A14,'Activities - Procurement'!S2:S9)+SUMIF('Activities - Construction'!D2:D14,A14,'Activities - Construction'!S2:S14)+SUMIF('Activities - Commissioning'!D2:D6,A14,'Activities - Commissioning'!S2:S6)</f>
        <v>95000</v>
      </c>
      <c r="G14" s="10">
        <f>F14-(SUMIF('Activities - Engineering'!D2:D9,A14,'Activities - Engineering'!Q2:Q9)+SUMIF('Activities - Procurement'!D2:D9,A14,'Activities - Procurement'!Q2:Q9)+SUMIF('Activities - Construction'!D2:D14,A14,'Activities - Construction'!Q2:Q14)+SUMIF('Activities - Commissioning'!D2:D6,A14,'Activities - Commissioning'!Q2:Q6))</f>
        <v>0</v>
      </c>
      <c r="H14" s="4">
        <f>IFERROR(F14/(SUMIF('Activities - Engineering'!D2:D9,A14,'Activities - Engineering'!Q2:Q9)+SUMIF('Activities - Procurement'!D2:D9,A14,'Activities - Procurement'!Q2:Q9)+SUMIF('Activities - Construction'!D2:D14,A14,'Activities - Construction'!Q2:Q14)+SUMIF('Activities - Commissioning'!D2:D6,A14,'Activities - Commissioning'!Q2:Q6)),0)</f>
        <v>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conditionalFormatting sqref="G2:G14">
    <cfRule type="cellIs" dxfId="4" priority="1" operator="greaterThan">
      <formula>0</formula>
    </cfRule>
  </conditionalFormatting>
  <conditionalFormatting sqref="G2:G14">
    <cfRule type="cellIs" dxfId="5" priority="2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34.0"/>
    <col customWidth="1" min="3" max="8" width="14.0"/>
    <col customWidth="1" min="9" max="9" width="16.0"/>
    <col customWidth="1" min="10" max="11" width="1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156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157</v>
      </c>
    </row>
    <row r="2">
      <c r="A2" s="2" t="str">
        <f>'Activities - Construction'!A2</f>
        <v>CON-01</v>
      </c>
      <c r="B2" s="2" t="str">
        <f>'Activities - Construction'!B2</f>
        <v>Excavation &amp; Shoring</v>
      </c>
      <c r="C2" s="2" t="str">
        <f>'Activities - Construction'!C2</f>
        <v>Construction</v>
      </c>
      <c r="D2" s="8">
        <f>'Activities - Construction'!T2</f>
        <v>4200</v>
      </c>
      <c r="E2" s="8">
        <f>'Activities - Construction'!U2</f>
        <v>4850</v>
      </c>
      <c r="F2" s="9">
        <f t="shared" ref="F2:F11" si="1">E2-D2</f>
        <v>650</v>
      </c>
      <c r="G2" s="8">
        <f>'Activities - Construction'!V2</f>
        <v>620</v>
      </c>
      <c r="H2" s="8">
        <f>'Activities - Construction'!W2</f>
        <v>540</v>
      </c>
      <c r="I2" s="2" t="str">
        <f>'Activities - Construction'!X2</f>
        <v>m3 poured</v>
      </c>
      <c r="J2" s="11">
        <f>'Activities - Construction'!Y2</f>
        <v>0.7542401064</v>
      </c>
      <c r="K2" s="2" t="str">
        <f t="shared" ref="K2:K11" si="2">IF(J2="","No Data",IF(J2&gt;=1,"On Target","Below Target"))</f>
        <v>Below Target</v>
      </c>
    </row>
    <row r="3">
      <c r="A3" s="2" t="str">
        <f>'Activities - Construction'!A3</f>
        <v>CON-02</v>
      </c>
      <c r="B3" s="2" t="str">
        <f>'Activities - Construction'!B3</f>
        <v>Foundation &amp; Raft Slab Pour</v>
      </c>
      <c r="C3" s="2" t="str">
        <f>'Activities - Construction'!C3</f>
        <v>Construction</v>
      </c>
      <c r="D3" s="8">
        <f>'Activities - Construction'!T3</f>
        <v>3100</v>
      </c>
      <c r="E3" s="8">
        <f>'Activities - Construction'!U3</f>
        <v>3400</v>
      </c>
      <c r="F3" s="9">
        <f t="shared" si="1"/>
        <v>300</v>
      </c>
      <c r="G3" s="8">
        <f>'Activities - Construction'!V3</f>
        <v>85</v>
      </c>
      <c r="H3" s="8">
        <f>'Activities - Construction'!W3</f>
        <v>76</v>
      </c>
      <c r="I3" s="2" t="str">
        <f>'Activities - Construction'!X3</f>
        <v>tons fixed</v>
      </c>
      <c r="J3" s="11">
        <f>'Activities - Construction'!Y3</f>
        <v>0.8152249135</v>
      </c>
      <c r="K3" s="2" t="str">
        <f t="shared" si="2"/>
        <v>Below Target</v>
      </c>
    </row>
    <row r="4">
      <c r="A4" s="2" t="str">
        <f>'Activities - Construction'!A4</f>
        <v>CON-03</v>
      </c>
      <c r="B4" s="2" t="str">
        <f>'Activities - Construction'!B4</f>
        <v>Substructure Waterproofing</v>
      </c>
      <c r="C4" s="2" t="str">
        <f>'Activities - Construction'!C4</f>
        <v>Construction</v>
      </c>
      <c r="D4" s="8">
        <f>'Activities - Construction'!T4</f>
        <v>1800</v>
      </c>
      <c r="E4" s="8">
        <f>'Activities - Construction'!U4</f>
        <v>1650</v>
      </c>
      <c r="F4" s="9">
        <f t="shared" si="1"/>
        <v>-150</v>
      </c>
      <c r="G4" s="8">
        <f>'Activities - Construction'!V4</f>
        <v>40</v>
      </c>
      <c r="H4" s="8">
        <f>'Activities - Construction'!W4</f>
        <v>34</v>
      </c>
      <c r="I4" s="2" t="str">
        <f>'Activities - Construction'!X4</f>
        <v>tons erected</v>
      </c>
      <c r="J4" s="11">
        <f>'Activities - Construction'!Y4</f>
        <v>0.9272727273</v>
      </c>
      <c r="K4" s="2" t="str">
        <f t="shared" si="2"/>
        <v>Below Target</v>
      </c>
    </row>
    <row r="5">
      <c r="A5" s="2" t="str">
        <f>'Activities - Construction'!A5</f>
        <v>CON-04</v>
      </c>
      <c r="B5" s="2" t="str">
        <f>'Activities - Construction'!B5</f>
        <v>Superstructure - Ground to L3 Columns</v>
      </c>
      <c r="C5" s="2" t="str">
        <f>'Activities - Construction'!C5</f>
        <v>Construction</v>
      </c>
      <c r="D5" s="8">
        <f>'Activities - Construction'!T5</f>
        <v>2600</v>
      </c>
      <c r="E5" s="8">
        <f>'Activities - Construction'!U5</f>
        <v>2900</v>
      </c>
      <c r="F5" s="9">
        <f t="shared" si="1"/>
        <v>300</v>
      </c>
      <c r="G5" s="8">
        <f>'Activities - Construction'!V5</f>
        <v>310</v>
      </c>
      <c r="H5" s="8">
        <f>'Activities - Construction'!W5</f>
        <v>275</v>
      </c>
      <c r="I5" s="2" t="str">
        <f>'Activities - Construction'!X5</f>
        <v>linear meters</v>
      </c>
      <c r="J5" s="11">
        <f>'Activities - Construction'!Y5</f>
        <v>0.7953281424</v>
      </c>
      <c r="K5" s="2" t="str">
        <f t="shared" si="2"/>
        <v>Below Target</v>
      </c>
    </row>
    <row r="6">
      <c r="A6" s="2" t="str">
        <f>'Activities - Construction'!A6</f>
        <v>CON-05</v>
      </c>
      <c r="B6" s="2" t="str">
        <f>'Activities - Construction'!B6</f>
        <v>Superstructure - Slab L1</v>
      </c>
      <c r="C6" s="2" t="str">
        <f>'Activities - Construction'!C6</f>
        <v>Construction</v>
      </c>
      <c r="D6" s="8">
        <f>'Activities - Construction'!T6</f>
        <v>1500</v>
      </c>
      <c r="E6" s="8">
        <f>'Activities - Construction'!U6</f>
        <v>1400</v>
      </c>
      <c r="F6" s="9">
        <f t="shared" si="1"/>
        <v>-100</v>
      </c>
      <c r="G6" s="8">
        <f>'Activities - Construction'!V6</f>
        <v>210</v>
      </c>
      <c r="H6" s="8">
        <f>'Activities - Construction'!W6</f>
        <v>205</v>
      </c>
      <c r="I6" s="2" t="str">
        <f>'Activities - Construction'!X6</f>
        <v>m2 completed</v>
      </c>
      <c r="J6" s="11">
        <f>'Activities - Construction'!Y6</f>
        <v>1.045918367</v>
      </c>
      <c r="K6" s="2" t="str">
        <f t="shared" si="2"/>
        <v>On Target</v>
      </c>
    </row>
    <row r="7">
      <c r="A7" s="2" t="str">
        <f>'Activities - Construction'!A7</f>
        <v>CON-06</v>
      </c>
      <c r="B7" s="2" t="str">
        <f>'Activities - Construction'!B7</f>
        <v>Site Mobilization &amp; Hoarding</v>
      </c>
      <c r="C7" s="2" t="str">
        <f>'Activities - Construction'!C7</f>
        <v>Construction</v>
      </c>
      <c r="D7" s="8">
        <f>'Activities - Construction'!T7</f>
        <v>900</v>
      </c>
      <c r="E7" s="8">
        <f>'Activities - Construction'!U7</f>
        <v>1150</v>
      </c>
      <c r="F7" s="9">
        <f t="shared" si="1"/>
        <v>250</v>
      </c>
      <c r="G7" s="8">
        <f>'Activities - Construction'!V7</f>
        <v>1</v>
      </c>
      <c r="H7" s="8">
        <f>'Activities - Construction'!W7</f>
        <v>1</v>
      </c>
      <c r="I7" s="2" t="str">
        <f>'Activities - Construction'!X7</f>
        <v>lump sum</v>
      </c>
      <c r="J7" s="11">
        <f>'Activities - Construction'!Y7</f>
        <v>0.7826086957</v>
      </c>
      <c r="K7" s="2" t="str">
        <f t="shared" si="2"/>
        <v>Below Target</v>
      </c>
    </row>
    <row r="8">
      <c r="A8" s="2" t="str">
        <f>'Activities - Construction'!A8</f>
        <v>CON-07</v>
      </c>
      <c r="B8" s="2" t="str">
        <f>'Activities - Construction'!B8</f>
        <v>MEP First Fix - L1-L3</v>
      </c>
      <c r="C8" s="2" t="str">
        <f>'Activities - Construction'!C8</f>
        <v>Construction</v>
      </c>
      <c r="D8" s="8">
        <f>'Activities - Construction'!T8</f>
        <v>2000</v>
      </c>
      <c r="E8" s="8">
        <f>'Activities - Construction'!U8</f>
        <v>650</v>
      </c>
      <c r="F8" s="9">
        <f t="shared" si="1"/>
        <v>-1350</v>
      </c>
      <c r="G8" s="8">
        <f>'Activities - Construction'!V8</f>
        <v>100</v>
      </c>
      <c r="H8" s="8">
        <f>'Activities - Construction'!W8</f>
        <v>28</v>
      </c>
      <c r="I8" s="2" t="str">
        <f>'Activities - Construction'!X8</f>
        <v>risers installed</v>
      </c>
      <c r="J8" s="11">
        <f>'Activities - Construction'!Y8</f>
        <v>0.8615384615</v>
      </c>
      <c r="K8" s="2" t="str">
        <f t="shared" si="2"/>
        <v>Below Target</v>
      </c>
    </row>
    <row r="9">
      <c r="A9" s="2" t="str">
        <f>'Activities - Construction'!A9</f>
        <v>CON-08</v>
      </c>
      <c r="B9" s="2" t="str">
        <f>'Activities - Construction'!B9</f>
        <v>External Facade Installation - Phase 1</v>
      </c>
      <c r="C9" s="2" t="str">
        <f>'Activities - Construction'!C9</f>
        <v>Construction</v>
      </c>
      <c r="D9" s="8">
        <f>'Activities - Construction'!T9</f>
        <v>1600</v>
      </c>
      <c r="E9" s="8">
        <f>'Activities - Construction'!U9</f>
        <v>120</v>
      </c>
      <c r="F9" s="9">
        <f t="shared" si="1"/>
        <v>-1480</v>
      </c>
      <c r="G9" s="8">
        <f>'Activities - Construction'!V9</f>
        <v>60</v>
      </c>
      <c r="H9" s="8">
        <f>'Activities - Construction'!W9</f>
        <v>5</v>
      </c>
      <c r="I9" s="2" t="str">
        <f>'Activities - Construction'!X9</f>
        <v>panels installed</v>
      </c>
      <c r="J9" s="11">
        <f>'Activities - Construction'!Y9</f>
        <v>1.111111111</v>
      </c>
      <c r="K9" s="2" t="str">
        <f t="shared" si="2"/>
        <v>On Target</v>
      </c>
    </row>
    <row r="10" ht="15.75" customHeight="1">
      <c r="A10" s="2" t="str">
        <f>'Activities - Construction'!A10</f>
        <v>CON-09</v>
      </c>
      <c r="B10" s="2" t="str">
        <f>'Activities - Construction'!B10</f>
        <v>Internal Partitions - L1</v>
      </c>
      <c r="C10" s="2" t="str">
        <f>'Activities - Construction'!C10</f>
        <v>Construction</v>
      </c>
      <c r="D10" s="8">
        <f>'Activities - Construction'!T10</f>
        <v>800</v>
      </c>
      <c r="E10" s="8">
        <f>'Activities - Construction'!U10</f>
        <v>0</v>
      </c>
      <c r="F10" s="9">
        <f t="shared" si="1"/>
        <v>-800</v>
      </c>
      <c r="G10" s="8">
        <f>'Activities - Construction'!V10</f>
        <v>900</v>
      </c>
      <c r="H10" s="8">
        <f>'Activities - Construction'!W10</f>
        <v>0</v>
      </c>
      <c r="I10" s="2" t="str">
        <f>'Activities - Construction'!X10</f>
        <v>m2 partitions</v>
      </c>
      <c r="J10" s="11" t="str">
        <f>'Activities - Construction'!Y10</f>
        <v/>
      </c>
      <c r="K10" s="2" t="str">
        <f t="shared" si="2"/>
        <v>No Data</v>
      </c>
    </row>
    <row r="11" ht="15.75" customHeight="1">
      <c r="A11" s="2" t="str">
        <f>'Activities - Commissioning'!A2</f>
        <v>COM-01</v>
      </c>
      <c r="B11" s="2" t="str">
        <f>'Activities - Commissioning'!B2</f>
        <v>MEP Systems Testing &amp; Balancing</v>
      </c>
      <c r="C11" s="2" t="str">
        <f>'Activities - Commissioning'!C2</f>
        <v>Commissioning</v>
      </c>
      <c r="D11" s="8">
        <f>'Activities - Commissioning'!T2</f>
        <v>500</v>
      </c>
      <c r="E11" s="8">
        <f>'Activities - Commissioning'!U2</f>
        <v>100</v>
      </c>
      <c r="F11" s="9">
        <f t="shared" si="1"/>
        <v>-400</v>
      </c>
      <c r="G11" s="8">
        <f>'Activities - Commissioning'!V2</f>
        <v>20</v>
      </c>
      <c r="H11" s="8">
        <f>'Activities - Commissioning'!W2</f>
        <v>4</v>
      </c>
      <c r="I11" s="2" t="str">
        <f>'Activities - Commissioning'!X2</f>
        <v>systems tested</v>
      </c>
      <c r="J11" s="11">
        <f>'Activities - Commissioning'!Y2</f>
        <v>1</v>
      </c>
      <c r="K11" s="2" t="str">
        <f t="shared" si="2"/>
        <v>On Target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2026-07-11T11:35:43Z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